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372AB895-14C1-FC20-EB20-F1B4BCFD95AE}"/>
  <workbookPr codeName="ThisWorkbook"/>
  <mc:AlternateContent xmlns:mc="http://schemas.openxmlformats.org/markup-compatibility/2006">
    <mc:Choice Requires="x15">
      <x15ac:absPath xmlns:x15ac="http://schemas.microsoft.com/office/spreadsheetml/2010/11/ac" url="H:\My Drive\PUBLIC PROJECTS\EXCEL PROJECTS\Personal Finance Budgeting\"/>
    </mc:Choice>
  </mc:AlternateContent>
  <xr:revisionPtr revIDLastSave="0" documentId="13_ncr:1_{11B4C8B3-284A-4B91-9328-ABF2B1C477F7}" xr6:coauthVersionLast="47" xr6:coauthVersionMax="47" xr10:uidLastSave="{00000000-0000-0000-0000-000000000000}"/>
  <bookViews>
    <workbookView xWindow="-19320" yWindow="-120" windowWidth="19440" windowHeight="15150" tabRatio="831" activeTab="7" xr2:uid="{CF743432-8028-4B9D-85C2-F4713EF5A160}"/>
  </bookViews>
  <sheets>
    <sheet name="Settings" sheetId="1" r:id="rId1"/>
    <sheet name="Budget Plannning" sheetId="2" r:id="rId2"/>
    <sheet name="Budget Tracking" sheetId="7" r:id="rId3"/>
    <sheet name="Budget Dashboard" sheetId="8" r:id="rId4"/>
    <sheet name="Time Series" sheetId="13" state="hidden" r:id="rId5"/>
    <sheet name="pivot(time Series)" sheetId="15" state="hidden" r:id="rId6"/>
    <sheet name="Resources" sheetId="11" r:id="rId7"/>
    <sheet name="Calculations" sheetId="9" r:id="rId8"/>
    <sheet name="DropDown Data" sheetId="10" state="hidden" r:id="rId9"/>
  </sheets>
  <definedNames>
    <definedName name="budget" localSheetId="3">'Budget Dashboard'!$L1</definedName>
    <definedName name="budget_range" localSheetId="3">'Budget Dashboard'!$Q1</definedName>
    <definedName name="budget_rank" localSheetId="3">'Budget Dashboard'!$R1</definedName>
    <definedName name="cc_Budget" localSheetId="7">Calculations!$J1</definedName>
    <definedName name="cc_Delta" localSheetId="7">Calculations!$K1</definedName>
    <definedName name="cc_In_Focus" localSheetId="7">Calculations!$F1</definedName>
    <definedName name="cc_month_Number" localSheetId="7">Calculations!$E1</definedName>
    <definedName name="cc_Show_Remaining_Budget" localSheetId="7">Calculations!$H1</definedName>
    <definedName name="cc_Show_Type" localSheetId="7">Calculations!$G1</definedName>
    <definedName name="cc_tracked" localSheetId="7">Calculations!$I1</definedName>
    <definedName name="cc_type" localSheetId="7">Calculations!$D1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TODAY()</definedName>
    <definedName name="expenditure_header_row" localSheetId="5">ROW(Expenditure[[#Headers],[Expenditure]])</definedName>
    <definedName name="expenditure_header_row">ROW(Expenditure[[#Headers],[Expenditure]])</definedName>
    <definedName name="expenditure_max_row" localSheetId="5">MAX(ROW(Expenditure[]))</definedName>
    <definedName name="expenditure_max_row">MAX(ROW(Expenditure[]))</definedName>
    <definedName name="expenditure_min_row" localSheetId="5">MIN(ROW(Expenditure[]))</definedName>
    <definedName name="expenditure_min_row">MIN(ROW(Expenditure[]))</definedName>
    <definedName name="expenditure_total_row">ROW('Budget Plannning'!$B$41)</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Plannning'!$B$21)</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'Budget Dashboard'!$AA1</definedName>
    <definedName name="out_percentage_completed">'Budget Dashboard'!$AB1</definedName>
    <definedName name="out_tracked">'Budget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rate_calaculation_type">Settings!$D$18</definedName>
    <definedName name="savings_total_row">ROW('Budget Plannning'!$B$64)</definedName>
    <definedName name="selected_period">Calculations!$D$17</definedName>
    <definedName name="selected_period_display">Calculations!$D$18</definedName>
    <definedName name="selected_year">Calculations!$D$16</definedName>
    <definedName name="shift_late_income_starting_date">Settings!$D$14</definedName>
    <definedName name="shift_late_income_status">Settings!$D$12</definedName>
    <definedName name="sort_max_row" localSheetId="3">'Budget Dashboard'!$N1</definedName>
    <definedName name="sort_min_row" localSheetId="3">'Budget Dashboard'!$M1</definedName>
    <definedName name="starting_year">Settings!$D$8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pivotCaches>
    <pivotCache cacheId="1"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7" i="7" l="1" a="1"/>
  <c r="G37" i="7" s="1"/>
  <c r="H37" i="7"/>
  <c r="G34" i="7" a="1"/>
  <c r="G34" i="7" s="1"/>
  <c r="G35" i="7" a="1"/>
  <c r="G35" i="7" s="1"/>
  <c r="G36" i="7" a="1"/>
  <c r="G36" i="7" s="1"/>
  <c r="G38" i="7" a="1"/>
  <c r="G38" i="7" s="1"/>
  <c r="G39" i="7" a="1"/>
  <c r="G39" i="7" s="1"/>
  <c r="G40" i="7" a="1"/>
  <c r="G40" i="7" s="1"/>
  <c r="G41" i="7" a="1"/>
  <c r="G41" i="7" s="1"/>
  <c r="G42" i="7" a="1"/>
  <c r="G42" i="7" s="1"/>
  <c r="G43" i="7" a="1"/>
  <c r="G43" i="7" s="1"/>
  <c r="G44" i="7" a="1"/>
  <c r="G44" i="7" s="1"/>
  <c r="G45" i="7" a="1"/>
  <c r="G45" i="7" s="1"/>
  <c r="G46" i="7" a="1"/>
  <c r="G46" i="7" s="1"/>
  <c r="G47" i="7" a="1"/>
  <c r="G47" i="7" s="1"/>
  <c r="G48" i="7" a="1"/>
  <c r="G48" i="7" s="1"/>
  <c r="H34" i="7"/>
  <c r="H35" i="7"/>
  <c r="H36" i="7"/>
  <c r="H38" i="7"/>
  <c r="H39" i="7"/>
  <c r="H40" i="7"/>
  <c r="H41" i="7"/>
  <c r="H42" i="7"/>
  <c r="H43" i="7"/>
  <c r="H44" i="7"/>
  <c r="H45" i="7"/>
  <c r="H46" i="7"/>
  <c r="H47" i="7"/>
  <c r="H48" i="7"/>
  <c r="P35" i="2"/>
  <c r="P25" i="2"/>
  <c r="P26" i="2"/>
  <c r="P27" i="2"/>
  <c r="P28" i="2"/>
  <c r="P29" i="2"/>
  <c r="P30" i="2"/>
  <c r="P31" i="2"/>
  <c r="P32" i="2"/>
  <c r="P33" i="2"/>
  <c r="P34" i="2"/>
  <c r="P24" i="2"/>
  <c r="AD24" i="2"/>
  <c r="AD25" i="2"/>
  <c r="AD26" i="2"/>
  <c r="AD27" i="2"/>
  <c r="AD28" i="2"/>
  <c r="AD29" i="2"/>
  <c r="AD30" i="2"/>
  <c r="AD31" i="2"/>
  <c r="AD32" i="2"/>
  <c r="AD33" i="2"/>
  <c r="AD34" i="2"/>
  <c r="AD35" i="2"/>
  <c r="AD36" i="2"/>
  <c r="G33" i="7" a="1"/>
  <c r="G33" i="7" s="1"/>
  <c r="H33" i="7"/>
  <c r="GB8" i="2"/>
  <c r="GB9" i="2"/>
  <c r="GB10" i="2"/>
  <c r="GB11" i="2"/>
  <c r="GB12" i="2"/>
  <c r="GB16" i="2"/>
  <c r="GB17" i="2"/>
  <c r="GB18" i="2"/>
  <c r="GB19" i="2"/>
  <c r="GB20" i="2"/>
  <c r="GB24" i="2"/>
  <c r="GB25" i="2"/>
  <c r="GB26" i="2"/>
  <c r="GB27" i="2"/>
  <c r="GB28" i="2"/>
  <c r="GB29" i="2"/>
  <c r="GB30" i="2"/>
  <c r="GB31" i="2"/>
  <c r="GB32" i="2"/>
  <c r="GB33" i="2"/>
  <c r="GB34" i="2"/>
  <c r="GB35" i="2"/>
  <c r="GB36" i="2"/>
  <c r="GB37" i="2"/>
  <c r="GB38" i="2"/>
  <c r="GB39" i="2"/>
  <c r="GB40" i="2"/>
  <c r="GB44" i="2"/>
  <c r="GB45" i="2"/>
  <c r="GB46" i="2"/>
  <c r="GB47" i="2"/>
  <c r="GB48" i="2"/>
  <c r="AD8" i="2"/>
  <c r="AD9" i="2"/>
  <c r="AD10" i="2"/>
  <c r="AD11" i="2"/>
  <c r="AD12" i="2"/>
  <c r="AD16" i="2"/>
  <c r="AD17" i="2"/>
  <c r="AD18" i="2"/>
  <c r="AD19" i="2"/>
  <c r="AD20" i="2"/>
  <c r="AD40" i="2"/>
  <c r="AD44" i="2"/>
  <c r="AD45" i="2"/>
  <c r="AD46" i="2"/>
  <c r="AD47" i="2"/>
  <c r="AD48" i="2"/>
  <c r="P8" i="2"/>
  <c r="P9" i="2"/>
  <c r="P10" i="2"/>
  <c r="P11" i="2"/>
  <c r="P12" i="2"/>
  <c r="P16" i="2"/>
  <c r="P17" i="2"/>
  <c r="P18" i="2"/>
  <c r="P19" i="2"/>
  <c r="P20" i="2"/>
  <c r="P40" i="2"/>
  <c r="P44" i="2"/>
  <c r="P45" i="2"/>
  <c r="P46" i="2"/>
  <c r="P47" i="2"/>
  <c r="P48" i="2"/>
  <c r="BF8" i="2"/>
  <c r="BF9" i="2"/>
  <c r="BF10" i="2"/>
  <c r="BF11" i="2"/>
  <c r="BF12" i="2"/>
  <c r="BF16" i="2"/>
  <c r="BF17" i="2"/>
  <c r="BF18" i="2"/>
  <c r="BF19" i="2"/>
  <c r="BF20" i="2"/>
  <c r="BF24" i="2"/>
  <c r="BF25" i="2"/>
  <c r="BF26" i="2"/>
  <c r="BF27" i="2"/>
  <c r="BF28" i="2"/>
  <c r="BF29" i="2"/>
  <c r="BF30" i="2"/>
  <c r="BF31" i="2"/>
  <c r="BF32" i="2"/>
  <c r="BF33" i="2"/>
  <c r="BF34" i="2"/>
  <c r="BF35" i="2"/>
  <c r="BF36" i="2"/>
  <c r="BF37" i="2"/>
  <c r="BF38" i="2"/>
  <c r="BF39" i="2"/>
  <c r="BF40" i="2"/>
  <c r="BF44" i="2"/>
  <c r="BF45" i="2"/>
  <c r="BF46" i="2"/>
  <c r="BF47" i="2"/>
  <c r="BF48" i="2"/>
  <c r="BT8" i="2"/>
  <c r="BT9" i="2"/>
  <c r="BT10" i="2"/>
  <c r="BT11" i="2"/>
  <c r="BT12" i="2"/>
  <c r="BT16" i="2"/>
  <c r="BT17" i="2"/>
  <c r="BT18" i="2"/>
  <c r="BT19" i="2"/>
  <c r="BT20" i="2"/>
  <c r="BT24" i="2"/>
  <c r="BT25" i="2"/>
  <c r="BT26" i="2"/>
  <c r="BT27" i="2"/>
  <c r="BT28" i="2"/>
  <c r="BT29" i="2"/>
  <c r="BT30" i="2"/>
  <c r="BT31" i="2"/>
  <c r="BT32" i="2"/>
  <c r="BT33" i="2"/>
  <c r="BT34" i="2"/>
  <c r="BT35" i="2"/>
  <c r="BT36" i="2"/>
  <c r="BT37" i="2"/>
  <c r="BT38" i="2"/>
  <c r="BT39" i="2"/>
  <c r="BT40" i="2"/>
  <c r="BT44" i="2"/>
  <c r="BT45" i="2"/>
  <c r="BT46" i="2"/>
  <c r="BT47" i="2"/>
  <c r="BT48" i="2"/>
  <c r="CH8" i="2"/>
  <c r="CH9" i="2"/>
  <c r="CH10" i="2"/>
  <c r="CH11" i="2"/>
  <c r="CH12" i="2"/>
  <c r="CH16" i="2"/>
  <c r="CH17" i="2"/>
  <c r="CH18" i="2"/>
  <c r="CH19" i="2"/>
  <c r="CH20" i="2"/>
  <c r="CH24" i="2"/>
  <c r="CH25" i="2"/>
  <c r="CH26" i="2"/>
  <c r="CH27" i="2"/>
  <c r="CH28" i="2"/>
  <c r="CH29" i="2"/>
  <c r="CH30" i="2"/>
  <c r="CH31" i="2"/>
  <c r="CH32" i="2"/>
  <c r="CH33" i="2"/>
  <c r="CH34" i="2"/>
  <c r="CH35" i="2"/>
  <c r="CH36" i="2"/>
  <c r="CH37" i="2"/>
  <c r="CH38" i="2"/>
  <c r="CH39" i="2"/>
  <c r="CH40" i="2"/>
  <c r="CH44" i="2"/>
  <c r="CH45" i="2"/>
  <c r="CH46" i="2"/>
  <c r="CH47" i="2"/>
  <c r="CH48" i="2"/>
  <c r="CV8" i="2"/>
  <c r="CV9" i="2"/>
  <c r="CV10" i="2"/>
  <c r="CV11" i="2"/>
  <c r="CV12" i="2"/>
  <c r="CV16" i="2"/>
  <c r="CV17" i="2"/>
  <c r="CV18" i="2"/>
  <c r="CV19" i="2"/>
  <c r="CV20" i="2"/>
  <c r="CV24" i="2"/>
  <c r="CV25" i="2"/>
  <c r="CV26" i="2"/>
  <c r="CV27" i="2"/>
  <c r="CV28" i="2"/>
  <c r="CV29" i="2"/>
  <c r="CV30" i="2"/>
  <c r="CV31" i="2"/>
  <c r="CV32" i="2"/>
  <c r="CV33" i="2"/>
  <c r="CV34" i="2"/>
  <c r="CV35" i="2"/>
  <c r="CV36" i="2"/>
  <c r="CV37" i="2"/>
  <c r="CV38" i="2"/>
  <c r="CV39" i="2"/>
  <c r="CV40" i="2"/>
  <c r="CV44" i="2"/>
  <c r="CV45" i="2"/>
  <c r="CV46" i="2"/>
  <c r="CV47" i="2"/>
  <c r="CV48" i="2"/>
  <c r="DJ8" i="2"/>
  <c r="DJ9" i="2"/>
  <c r="DJ10" i="2"/>
  <c r="DJ11" i="2"/>
  <c r="DJ12" i="2"/>
  <c r="DJ16" i="2"/>
  <c r="DJ17" i="2"/>
  <c r="DJ18" i="2"/>
  <c r="DJ19" i="2"/>
  <c r="DJ20" i="2"/>
  <c r="DJ24" i="2"/>
  <c r="DJ25" i="2"/>
  <c r="DJ26" i="2"/>
  <c r="DJ27" i="2"/>
  <c r="DJ28" i="2"/>
  <c r="DJ29" i="2"/>
  <c r="DJ30" i="2"/>
  <c r="DJ31" i="2"/>
  <c r="DJ32" i="2"/>
  <c r="DJ33" i="2"/>
  <c r="DJ34" i="2"/>
  <c r="DJ35" i="2"/>
  <c r="DJ36" i="2"/>
  <c r="DJ37" i="2"/>
  <c r="DJ38" i="2"/>
  <c r="DJ39" i="2"/>
  <c r="DJ40" i="2"/>
  <c r="DJ44" i="2"/>
  <c r="DJ45" i="2"/>
  <c r="DJ46" i="2"/>
  <c r="DJ47" i="2"/>
  <c r="DJ48" i="2"/>
  <c r="DX8" i="2"/>
  <c r="DX9" i="2"/>
  <c r="DX10" i="2"/>
  <c r="DX11" i="2"/>
  <c r="DX12" i="2"/>
  <c r="DX16" i="2"/>
  <c r="DX17" i="2"/>
  <c r="DX18" i="2"/>
  <c r="DX19" i="2"/>
  <c r="DX20" i="2"/>
  <c r="DX24" i="2"/>
  <c r="DX25" i="2"/>
  <c r="DX26" i="2"/>
  <c r="DX27" i="2"/>
  <c r="DX28" i="2"/>
  <c r="DX29" i="2"/>
  <c r="DX30" i="2"/>
  <c r="DX31" i="2"/>
  <c r="DX32" i="2"/>
  <c r="DX33" i="2"/>
  <c r="DX34" i="2"/>
  <c r="DX35" i="2"/>
  <c r="DX36" i="2"/>
  <c r="DX37" i="2"/>
  <c r="DX38" i="2"/>
  <c r="DX39" i="2"/>
  <c r="DX40" i="2"/>
  <c r="DX44" i="2"/>
  <c r="DX45" i="2"/>
  <c r="DX46" i="2"/>
  <c r="DX47" i="2"/>
  <c r="DX48" i="2"/>
  <c r="EL8" i="2"/>
  <c r="EL9" i="2"/>
  <c r="EL10" i="2"/>
  <c r="EL11" i="2"/>
  <c r="EL12" i="2"/>
  <c r="EL16" i="2"/>
  <c r="EL17" i="2"/>
  <c r="EL18" i="2"/>
  <c r="EL19" i="2"/>
  <c r="EL20" i="2"/>
  <c r="EL24" i="2"/>
  <c r="EL25" i="2"/>
  <c r="EL26" i="2"/>
  <c r="EL27" i="2"/>
  <c r="EL28" i="2"/>
  <c r="EL29" i="2"/>
  <c r="EL30" i="2"/>
  <c r="EL31" i="2"/>
  <c r="EL32" i="2"/>
  <c r="EL33" i="2"/>
  <c r="EL34" i="2"/>
  <c r="EL35" i="2"/>
  <c r="EL36" i="2"/>
  <c r="EL37" i="2"/>
  <c r="EL38" i="2"/>
  <c r="EL39" i="2"/>
  <c r="EL40" i="2"/>
  <c r="EL44" i="2"/>
  <c r="EL45" i="2"/>
  <c r="EL46" i="2"/>
  <c r="EL47" i="2"/>
  <c r="EL48" i="2"/>
  <c r="EZ8" i="2"/>
  <c r="EZ9" i="2"/>
  <c r="EZ10" i="2"/>
  <c r="EZ11" i="2"/>
  <c r="EZ12" i="2"/>
  <c r="EZ16" i="2"/>
  <c r="EZ17" i="2"/>
  <c r="EZ18" i="2"/>
  <c r="EZ19" i="2"/>
  <c r="EZ20" i="2"/>
  <c r="EZ24" i="2"/>
  <c r="EZ25" i="2"/>
  <c r="EZ26" i="2"/>
  <c r="EZ27" i="2"/>
  <c r="EZ28" i="2"/>
  <c r="EZ29" i="2"/>
  <c r="EZ30" i="2"/>
  <c r="EZ31" i="2"/>
  <c r="EZ32" i="2"/>
  <c r="EZ33" i="2"/>
  <c r="EZ34" i="2"/>
  <c r="EZ35" i="2"/>
  <c r="EZ36" i="2"/>
  <c r="EZ37" i="2"/>
  <c r="EZ38" i="2"/>
  <c r="EZ39" i="2"/>
  <c r="EZ40" i="2"/>
  <c r="EZ44" i="2"/>
  <c r="EZ45" i="2"/>
  <c r="EZ46" i="2"/>
  <c r="EZ47" i="2"/>
  <c r="EZ48" i="2"/>
  <c r="FN8" i="2"/>
  <c r="FN9" i="2"/>
  <c r="FN10" i="2"/>
  <c r="FN11" i="2"/>
  <c r="FN12" i="2"/>
  <c r="FN16" i="2"/>
  <c r="FN17" i="2"/>
  <c r="FN18" i="2"/>
  <c r="FN19" i="2"/>
  <c r="FN20" i="2"/>
  <c r="FN24" i="2"/>
  <c r="FN25" i="2"/>
  <c r="FN26" i="2"/>
  <c r="FN27" i="2"/>
  <c r="FN28" i="2"/>
  <c r="FN29" i="2"/>
  <c r="FN30" i="2"/>
  <c r="FN31" i="2"/>
  <c r="FN32" i="2"/>
  <c r="FN33" i="2"/>
  <c r="FN34" i="2"/>
  <c r="FN35" i="2"/>
  <c r="FN36" i="2"/>
  <c r="FN37" i="2"/>
  <c r="FN38" i="2"/>
  <c r="FN39" i="2"/>
  <c r="FN40" i="2"/>
  <c r="FN44" i="2"/>
  <c r="FN45" i="2"/>
  <c r="FN46" i="2"/>
  <c r="FN47" i="2"/>
  <c r="FN48" i="2"/>
  <c r="G32" i="7" a="1"/>
  <c r="G32" i="7" s="1"/>
  <c r="H32" i="7"/>
  <c r="G31" i="7" a="1"/>
  <c r="G31" i="7" s="1"/>
  <c r="H31" i="7"/>
  <c r="G30" i="7" a="1"/>
  <c r="G30" i="7" s="1"/>
  <c r="H30" i="7"/>
  <c r="G29" i="7" a="1"/>
  <c r="G29" i="7" s="1"/>
  <c r="H29" i="7"/>
  <c r="G28" i="7" a="1"/>
  <c r="G28" i="7" s="1"/>
  <c r="H28" i="7"/>
  <c r="G27" i="7" a="1"/>
  <c r="G27" i="7" s="1"/>
  <c r="H27" i="7"/>
  <c r="G26" i="7" a="1"/>
  <c r="G26" i="7" s="1"/>
  <c r="H26" i="7"/>
  <c r="G25" i="7" a="1"/>
  <c r="G25" i="7" s="1"/>
  <c r="H25" i="7"/>
  <c r="G24" i="7" a="1"/>
  <c r="G24" i="7" s="1"/>
  <c r="H24" i="7"/>
  <c r="G23" i="7" a="1"/>
  <c r="G23" i="7" s="1"/>
  <c r="H23" i="7"/>
  <c r="G9" i="7" a="1"/>
  <c r="G9" i="7" s="1"/>
  <c r="H9" i="7"/>
  <c r="G8" i="7" a="1"/>
  <c r="G8" i="7" s="1"/>
  <c r="H8" i="7"/>
  <c r="G10" i="7" a="1"/>
  <c r="G10" i="7" s="1"/>
  <c r="H10" i="7"/>
  <c r="G16" i="7" a="1"/>
  <c r="G16" i="7" s="1"/>
  <c r="H16" i="7"/>
  <c r="G15" i="7" a="1"/>
  <c r="G15" i="7" s="1"/>
  <c r="H15" i="7"/>
  <c r="G14" i="7" a="1"/>
  <c r="G14" i="7" s="1"/>
  <c r="H14" i="7"/>
  <c r="G20" i="7" a="1"/>
  <c r="G20" i="7" s="1"/>
  <c r="G21" i="7" a="1"/>
  <c r="G21" i="7" s="1"/>
  <c r="G22" i="7" a="1"/>
  <c r="G22" i="7" s="1"/>
  <c r="H20" i="7"/>
  <c r="H21" i="7"/>
  <c r="H22" i="7"/>
  <c r="G19" i="7" a="1"/>
  <c r="G19" i="7" s="1"/>
  <c r="H19" i="7"/>
  <c r="G18" i="7" a="1"/>
  <c r="G18" i="7" s="1"/>
  <c r="H18" i="7"/>
  <c r="G17" i="7" a="1"/>
  <c r="G17" i="7" s="1"/>
  <c r="H17" i="7"/>
  <c r="G7" i="7" a="1"/>
  <c r="G7" i="7" s="1"/>
  <c r="G13" i="7" a="1"/>
  <c r="G13" i="7" s="1"/>
  <c r="H7" i="7"/>
  <c r="H13" i="7"/>
  <c r="G6" i="7" a="1"/>
  <c r="G6" i="7" s="1"/>
  <c r="G12" i="7" a="1"/>
  <c r="G12" i="7" s="1"/>
  <c r="H6" i="7"/>
  <c r="H12" i="7"/>
  <c r="D9" i="9" a="1"/>
  <c r="D9" i="9" s="1"/>
  <c r="G5" i="7" a="1"/>
  <c r="G5" i="7" s="1"/>
  <c r="H5" i="7"/>
  <c r="G4" i="7" a="1"/>
  <c r="G4" i="7" s="1"/>
  <c r="H4" i="7"/>
  <c r="G11" i="7" a="1"/>
  <c r="G11" i="7" s="1"/>
  <c r="H11" i="7"/>
  <c r="AR35" i="2"/>
  <c r="AR37" i="2"/>
  <c r="AR38" i="2"/>
  <c r="AR39" i="2"/>
  <c r="AR40" i="2"/>
  <c r="AR34" i="2"/>
  <c r="H59" i="9"/>
  <c r="H60" i="9"/>
  <c r="H61" i="9"/>
  <c r="H63" i="9"/>
  <c r="H64" i="9"/>
  <c r="H65" i="9"/>
  <c r="H67" i="9"/>
  <c r="H68" i="9"/>
  <c r="H69" i="9"/>
  <c r="H71" i="9"/>
  <c r="H72" i="9"/>
  <c r="H73" i="9"/>
  <c r="H75" i="9"/>
  <c r="H76" i="9"/>
  <c r="H77" i="9"/>
  <c r="H79" i="9"/>
  <c r="H80" i="9"/>
  <c r="H81" i="9"/>
  <c r="H83" i="9"/>
  <c r="H84" i="9"/>
  <c r="H85" i="9"/>
  <c r="H87" i="9"/>
  <c r="H88" i="9"/>
  <c r="H89" i="9"/>
  <c r="H91" i="9"/>
  <c r="H92" i="9"/>
  <c r="H93" i="9"/>
  <c r="H95" i="9"/>
  <c r="H96" i="9"/>
  <c r="H97" i="9"/>
  <c r="H99" i="9"/>
  <c r="H100" i="9"/>
  <c r="H101" i="9"/>
  <c r="H57" i="9"/>
  <c r="H56" i="9"/>
  <c r="H55" i="9"/>
  <c r="G57" i="9"/>
  <c r="G59" i="9"/>
  <c r="G60" i="9"/>
  <c r="G61" i="9"/>
  <c r="G63" i="9"/>
  <c r="G64" i="9"/>
  <c r="G65" i="9"/>
  <c r="G67" i="9"/>
  <c r="G68" i="9"/>
  <c r="G69" i="9"/>
  <c r="G71" i="9"/>
  <c r="G72" i="9"/>
  <c r="G73" i="9"/>
  <c r="G75" i="9"/>
  <c r="G76" i="9"/>
  <c r="G77" i="9"/>
  <c r="G79" i="9"/>
  <c r="G80" i="9"/>
  <c r="G81" i="9"/>
  <c r="G83" i="9"/>
  <c r="G84" i="9"/>
  <c r="G85" i="9"/>
  <c r="G87" i="9"/>
  <c r="G88" i="9"/>
  <c r="G89" i="9"/>
  <c r="G91" i="9"/>
  <c r="G92" i="9"/>
  <c r="G93" i="9"/>
  <c r="G95" i="9"/>
  <c r="G96" i="9"/>
  <c r="G97" i="9"/>
  <c r="G99" i="9"/>
  <c r="G100" i="9"/>
  <c r="G101" i="9"/>
  <c r="G56" i="9"/>
  <c r="G55" i="9"/>
  <c r="AP35" i="8"/>
  <c r="AI35" i="8"/>
  <c r="AI21" i="8"/>
  <c r="J12" i="8" a="1"/>
  <c r="J12" i="8" s="1"/>
  <c r="H12" i="8"/>
  <c r="Z12" i="8" s="1"/>
  <c r="G12" i="8" a="1"/>
  <c r="G12" i="8" s="1"/>
  <c r="E12" i="8" a="1"/>
  <c r="E12" i="8" s="1"/>
  <c r="C13" i="8" a="1"/>
  <c r="C13" i="8" s="1"/>
  <c r="D17" i="9" a="1"/>
  <c r="D17" i="9" s="1"/>
  <c r="F76" i="9" s="1"/>
  <c r="D16" i="9"/>
  <c r="C79" i="9" s="1"/>
  <c r="E80" i="9" s="1"/>
  <c r="B6" i="10"/>
  <c r="B7" i="10" s="1"/>
  <c r="B8" i="10" s="1"/>
  <c r="B9" i="10" s="1"/>
  <c r="B10" i="10" s="1"/>
  <c r="B11" i="10" s="1"/>
  <c r="B12" i="10" s="1"/>
  <c r="B13" i="10" s="1"/>
  <c r="B14" i="10" s="1"/>
  <c r="B15" i="10" s="1"/>
  <c r="B16" i="10" s="1"/>
  <c r="B17" i="10" s="1"/>
  <c r="B18" i="10" s="1"/>
  <c r="D8" i="9"/>
  <c r="D6" i="9"/>
  <c r="D5" i="9" a="1"/>
  <c r="D5" i="9" s="1"/>
  <c r="AR8" i="2"/>
  <c r="AR9" i="2"/>
  <c r="AR10" i="2"/>
  <c r="AR11" i="2"/>
  <c r="AR12" i="2"/>
  <c r="AR16" i="2"/>
  <c r="AR17" i="2"/>
  <c r="AR18" i="2"/>
  <c r="AR19" i="2"/>
  <c r="AR20" i="2"/>
  <c r="AR24" i="2"/>
  <c r="AR25" i="2"/>
  <c r="AR26" i="2"/>
  <c r="AR27" i="2"/>
  <c r="AR28" i="2"/>
  <c r="AR29" i="2"/>
  <c r="AR30" i="2"/>
  <c r="AR31" i="2"/>
  <c r="AR32" i="2"/>
  <c r="AR33" i="2"/>
  <c r="AR44" i="2"/>
  <c r="AR45" i="2"/>
  <c r="AR46" i="2"/>
  <c r="AR47" i="2"/>
  <c r="AR48" i="2"/>
  <c r="D3" i="2"/>
  <c r="N43" i="2" s="1"/>
  <c r="P36" i="2"/>
  <c r="EA64" i="2" a="1"/>
  <c r="DZ64" i="2" a="1"/>
  <c r="AL21" i="2" a="1"/>
  <c r="G21" i="2" a="1"/>
  <c r="EA41" i="2" a="1"/>
  <c r="EP21" i="2" a="1"/>
  <c r="BR64" i="2" a="1"/>
  <c r="BB64" i="2" a="1"/>
  <c r="AH21" i="2" a="1"/>
  <c r="BX41" i="2" a="1"/>
  <c r="CX21" i="2" a="1"/>
  <c r="I64" i="2" a="1"/>
  <c r="BB21" i="2" a="1"/>
  <c r="R64" i="2" a="1"/>
  <c r="CK21" i="2" a="1"/>
  <c r="CQ64" i="2" a="1"/>
  <c r="FZ41" i="2" a="1"/>
  <c r="EU41" i="2" a="1"/>
  <c r="CP64" i="2" a="1"/>
  <c r="ES64" i="2" a="1"/>
  <c r="D64" i="2" a="1"/>
  <c r="EY21" i="2" a="1"/>
  <c r="FI64" i="2" a="1"/>
  <c r="CQ21" i="2" a="1"/>
  <c r="FB41" i="2" a="1"/>
  <c r="BT21" i="2" a="1"/>
  <c r="S21" i="2" a="1"/>
  <c r="CC64" i="2" a="1"/>
  <c r="BH64" i="2" a="1"/>
  <c r="FL21" i="2" a="1"/>
  <c r="DD41" i="2" a="1"/>
  <c r="FU41" i="2" a="1"/>
  <c r="V21" i="2" a="1"/>
  <c r="AV64" i="2" a="1"/>
  <c r="FB64" i="2" a="1"/>
  <c r="AF64" i="2" a="1"/>
  <c r="DM64" i="2" a="1"/>
  <c r="DB21" i="2" a="1"/>
  <c r="T64" i="2" a="1"/>
  <c r="FP21" i="2" a="1"/>
  <c r="CS21" i="2" a="1"/>
  <c r="CM41" i="2" a="1"/>
  <c r="FI41" i="2" a="1"/>
  <c r="T21" i="2" a="1"/>
  <c r="EQ21" i="2" a="1"/>
  <c r="EO64" i="2" a="1"/>
  <c r="DQ41" i="2" a="1"/>
  <c r="AD21" i="2" a="1"/>
  <c r="FM41" i="2" a="1"/>
  <c r="EU64" i="2" a="1"/>
  <c r="DE21" i="2" a="1"/>
  <c r="BP41" i="2" a="1"/>
  <c r="F21" i="2" a="1"/>
  <c r="EC21" i="2" a="1"/>
  <c r="FK64" i="2" a="1"/>
  <c r="BA41" i="2" a="1"/>
  <c r="AJ21" i="2" a="1"/>
  <c r="FV64" i="2" a="1"/>
  <c r="CD21" i="2" a="1"/>
  <c r="L21" i="2" a="1"/>
  <c r="AT64" i="2" a="1"/>
  <c r="BH21" i="2" a="1"/>
  <c r="ET41" i="2" a="1"/>
  <c r="AU41" i="2" a="1"/>
  <c r="AO64" i="2" a="1"/>
  <c r="BD21" i="2" a="1"/>
  <c r="CR41" i="2" a="1"/>
  <c r="CO64" i="2" a="1"/>
  <c r="BX64" i="2" a="1"/>
  <c r="FH21" i="2" a="1"/>
  <c r="GA41" i="2" a="1"/>
  <c r="FD64" i="2" a="1"/>
  <c r="FT41" i="2" a="1"/>
  <c r="FG64" i="2" a="1"/>
  <c r="AG64" i="2" a="1"/>
  <c r="DF64" i="2" a="1"/>
  <c r="L64" i="2" a="1"/>
  <c r="ED41" i="2" a="1"/>
  <c r="FG21" i="2" a="1"/>
  <c r="CS64" i="2" a="1"/>
  <c r="BL64" i="2" a="1"/>
  <c r="CJ41" i="2" a="1"/>
  <c r="DN64" i="2" a="1"/>
  <c r="FW41" i="2" a="1"/>
  <c r="FC64" i="2" a="1"/>
  <c r="EC64" i="2" a="1"/>
  <c r="L41" i="2" a="1"/>
  <c r="K21" i="2" a="1"/>
  <c r="W41" i="2" a="1"/>
  <c r="DQ64" i="2" a="1"/>
  <c r="BO64" i="2" a="1"/>
  <c r="DX41" i="2" a="1"/>
  <c r="EQ64" i="2" a="1"/>
  <c r="O21" i="2" a="1"/>
  <c r="AB64" i="2" a="1"/>
  <c r="BJ21" i="2" a="1"/>
  <c r="DW64" i="2" a="1"/>
  <c r="CH21" i="2" a="1"/>
  <c r="DL64" i="2" a="1"/>
  <c r="ER41" i="2" a="1"/>
  <c r="BD64" i="2" a="1"/>
  <c r="AV21" i="2" a="1"/>
  <c r="DA64" i="2" a="1"/>
  <c r="AZ64" i="2" a="1"/>
  <c r="AP64" i="2" a="1"/>
  <c r="EE64" i="2" a="1"/>
  <c r="DU21" i="2" a="1"/>
  <c r="AU64" i="2" a="1"/>
  <c r="FL64" i="2" a="1"/>
  <c r="CL64" i="2" a="1"/>
  <c r="FJ64" i="2" a="1"/>
  <c r="BF64" i="2" a="1"/>
  <c r="Y41" i="2" a="1"/>
  <c r="FC21" i="2" a="1"/>
  <c r="FC41" i="2" a="1"/>
  <c r="DP21" i="2" a="1"/>
  <c r="FQ41" i="2" a="1"/>
  <c r="EJ21" i="2" a="1"/>
  <c r="DR41" i="2" a="1"/>
  <c r="EI41" i="2" a="1"/>
  <c r="FS21" i="2" a="1"/>
  <c r="DD64" i="2" a="1"/>
  <c r="EZ41" i="2" a="1"/>
  <c r="AY41" i="2" a="1"/>
  <c r="FS64" i="2" a="1"/>
  <c r="FM64" i="2" a="1"/>
  <c r="BL21" i="2" a="1"/>
  <c r="DW41" i="2" a="1"/>
  <c r="FQ21" i="2" a="1"/>
  <c r="CV21" i="2" a="1"/>
  <c r="AM64" i="2" a="1"/>
  <c r="BJ41" i="2" a="1"/>
  <c r="BS64" i="2" a="1"/>
  <c r="Z64" i="2" a="1"/>
  <c r="CA21" i="2" a="1"/>
  <c r="EL64" i="2" a="1"/>
  <c r="EF64" i="2" a="1"/>
  <c r="BZ41" i="2" a="1"/>
  <c r="FW21" i="2" a="1"/>
  <c r="F64" i="2" a="1"/>
  <c r="CG41" i="2" a="1"/>
  <c r="FR64" i="2" a="1"/>
  <c r="X64" i="2" a="1"/>
  <c r="M64" i="2" a="1"/>
  <c r="BK64" i="2" a="1"/>
  <c r="CV41" i="2" a="1"/>
  <c r="FV21" i="2" a="1"/>
  <c r="CP21" i="2" a="1"/>
  <c r="V41" i="2" a="1"/>
  <c r="AH64" i="2" a="1"/>
  <c r="CJ21" i="2" a="1"/>
  <c r="AQ21" i="2" a="1"/>
  <c r="EG64" i="2" a="1"/>
  <c r="EW21" i="2" a="1"/>
  <c r="M41" i="2" a="1"/>
  <c r="AA64" i="2" a="1"/>
  <c r="GB41" i="2" a="1"/>
  <c r="AX64" i="2" a="1"/>
  <c r="FF64" i="2" a="1"/>
  <c r="CQ41" i="2" a="1"/>
  <c r="DI41" i="2" a="1"/>
  <c r="CE21" i="2" a="1"/>
  <c r="FX41" i="2" a="1"/>
  <c r="AC41" i="2" a="1"/>
  <c r="U21" i="2" a="1"/>
  <c r="EV41" i="2" a="1"/>
  <c r="CH41" i="2" a="1"/>
  <c r="EY41" i="2" a="1"/>
  <c r="DS21" i="2" a="1"/>
  <c r="AF21" i="2" a="1"/>
  <c r="EG41" i="2" a="1"/>
  <c r="DL21" i="2" a="1"/>
  <c r="ER21" i="2" a="1"/>
  <c r="FR21" i="2" a="1"/>
  <c r="BS41" i="2" a="1"/>
  <c r="DO64" i="2" a="1"/>
  <c r="EP41" i="2" a="1"/>
  <c r="AP21" i="2" a="1"/>
  <c r="CA41" i="2" a="1"/>
  <c r="AY64" i="2" a="1"/>
  <c r="AL64" i="2" a="1"/>
  <c r="AN64" i="2" a="1"/>
  <c r="EF21" i="2" a="1"/>
  <c r="FH41" i="2" a="1"/>
  <c r="EJ64" i="2" a="1"/>
  <c r="FT64" i="2" a="1"/>
  <c r="EQ41" i="2" a="1"/>
  <c r="CY21" i="2" a="1"/>
  <c r="BS21" i="2" a="1"/>
  <c r="BR21" i="2" a="1"/>
  <c r="DL41" i="2" a="1"/>
  <c r="DG21" i="2" a="1"/>
  <c r="J64" i="2" a="1"/>
  <c r="CA64" i="2" a="1"/>
  <c r="CL21" i="2" a="1"/>
  <c r="E41" i="2" a="1"/>
  <c r="DH21" i="2" a="1"/>
  <c r="FR41" i="2" a="1"/>
  <c r="CY41" i="2" a="1"/>
  <c r="EN21" i="2" a="1"/>
  <c r="CB21" i="2" a="1"/>
  <c r="DG41" i="2" a="1"/>
  <c r="DU41" i="2" a="1"/>
  <c r="G64" i="2" a="1"/>
  <c r="FG41" i="2" a="1"/>
  <c r="D41" i="2" a="1"/>
  <c r="EH64" i="2" a="1"/>
  <c r="CZ21" i="2" a="1"/>
  <c r="DT64" i="2" a="1"/>
  <c r="N64" i="2" a="1"/>
  <c r="BM21" i="2" a="1"/>
  <c r="EX21" i="2" a="1"/>
  <c r="ET21" i="2" a="1"/>
  <c r="BW41" i="2" a="1"/>
  <c r="CR64" i="2" a="1"/>
  <c r="DP64" i="2" a="1"/>
  <c r="AY21" i="2" a="1"/>
  <c r="EE41" i="2" a="1"/>
  <c r="CN64" i="2" a="1"/>
  <c r="F41" i="2" a="1"/>
  <c r="J21" i="2" a="1"/>
  <c r="CJ64" i="2" a="1"/>
  <c r="BC21" i="2" a="1"/>
  <c r="CF41" i="2" a="1"/>
  <c r="FJ21" i="2" a="1"/>
  <c r="EG21" i="2" a="1"/>
  <c r="BE64" i="2" a="1"/>
  <c r="DM21" i="2" a="1"/>
  <c r="BQ64" i="2" a="1"/>
  <c r="GA21" i="2" a="1"/>
  <c r="D21" i="2" a="1"/>
  <c r="BW64" i="2" a="1"/>
  <c r="AX41" i="2" a="1"/>
  <c r="K64" i="2" a="1"/>
  <c r="CC21" i="2" a="1"/>
  <c r="CY64" i="2" a="1"/>
  <c r="DT41" i="2" a="1"/>
  <c r="GA64" i="2" a="1"/>
  <c r="EI64" i="2" a="1"/>
  <c r="BI21" i="2" a="1"/>
  <c r="BV21" i="2" a="1"/>
  <c r="CB64" i="2" a="1"/>
  <c r="DT21" i="2" a="1"/>
  <c r="BP21" i="2" a="1"/>
  <c r="CZ41" i="2" a="1"/>
  <c r="DN21" i="2" a="1"/>
  <c r="AX21" i="2" a="1"/>
  <c r="BR41" i="2" a="1"/>
  <c r="CC41" i="2" a="1"/>
  <c r="BM41" i="2" a="1"/>
  <c r="FH64" i="2" a="1"/>
  <c r="FY41" i="2" a="1"/>
  <c r="DA21" i="2" a="1"/>
  <c r="CE64" i="2" a="1"/>
  <c r="DO21" i="2" a="1"/>
  <c r="CS41" i="2" a="1"/>
  <c r="FX64" i="2" a="1"/>
  <c r="BW21" i="2" a="1"/>
  <c r="AB21" i="2" a="1"/>
  <c r="DF21" i="2" a="1"/>
  <c r="DJ21" i="2" a="1"/>
  <c r="FY21" i="2" a="1"/>
  <c r="CO21" i="2" a="1"/>
  <c r="FF41" i="2" a="1"/>
  <c r="U64" i="2" a="1"/>
  <c r="CT41" i="2" a="1"/>
  <c r="FM21" i="2" a="1"/>
  <c r="AA41" i="2" a="1"/>
  <c r="DA41" i="2" a="1"/>
  <c r="P41" i="2" a="1"/>
  <c r="BT64" i="2" a="1"/>
  <c r="BL41" i="2" a="1"/>
  <c r="AR64" i="2" a="1"/>
  <c r="CF21" i="2" a="1"/>
  <c r="DZ41" i="2" a="1"/>
  <c r="FD21" i="2" a="1"/>
  <c r="N41" i="2" a="1"/>
  <c r="CV64" i="2" a="1"/>
  <c r="BT41" i="2" a="1"/>
  <c r="DV21" i="2" a="1"/>
  <c r="AZ21" i="2" a="1"/>
  <c r="FQ64" i="2" a="1"/>
  <c r="CM21" i="2" a="1"/>
  <c r="FE64" i="2" a="1"/>
  <c r="AU21" i="2" a="1"/>
  <c r="EO41" i="2" a="1"/>
  <c r="BF41" i="2" a="1"/>
  <c r="DC41" i="2" a="1"/>
  <c r="BO21" i="2" a="1"/>
  <c r="I21" i="2" a="1"/>
  <c r="FU64" i="2" a="1"/>
  <c r="AN21" i="2" a="1"/>
  <c r="BP64" i="2" a="1"/>
  <c r="DJ41" i="2" a="1"/>
  <c r="EB41" i="2" a="1"/>
  <c r="EI21" i="2" a="1"/>
  <c r="CK64" i="2" a="1"/>
  <c r="FS41" i="2" a="1"/>
  <c r="H21" i="2" a="1"/>
  <c r="EN41" i="2" a="1"/>
  <c r="DO41" i="2" a="1"/>
  <c r="DF41" i="2" a="1"/>
  <c r="FL41" i="2" a="1"/>
  <c r="CP41" i="2" a="1"/>
  <c r="BC64" i="2" a="1"/>
  <c r="AI64" i="2" a="1"/>
  <c r="AT41" i="2" a="1"/>
  <c r="N21" i="2" a="1"/>
  <c r="BK21" i="2" a="1"/>
  <c r="EZ64" i="2" a="1"/>
  <c r="EW64" i="2" a="1"/>
  <c r="DB41" i="2" a="1"/>
  <c r="GB64" i="2" a="1"/>
  <c r="EH41" i="2" a="1"/>
  <c r="BE21" i="2" a="1"/>
  <c r="S64" i="2" a="1"/>
  <c r="CN21" i="2" a="1"/>
  <c r="Y64" i="2" a="1"/>
  <c r="EP64" i="2" a="1"/>
  <c r="FP64" i="2" a="1"/>
  <c r="EF41" i="2" a="1"/>
  <c r="ER64" i="2" a="1"/>
  <c r="EC41" i="2" a="1"/>
  <c r="E21" i="2" a="1"/>
  <c r="ED21" i="2" a="1"/>
  <c r="CU64" i="2" a="1"/>
  <c r="DW21" i="2" a="1"/>
  <c r="ED64" i="2" a="1"/>
  <c r="DP41" i="2" a="1"/>
  <c r="FT21" i="2" a="1"/>
  <c r="CO41" i="2" a="1"/>
  <c r="CD64" i="2" a="1"/>
  <c r="AD64" i="2" a="1"/>
  <c r="BC41" i="2" a="1"/>
  <c r="AA21" i="2" a="1"/>
  <c r="BE41" i="2" a="1"/>
  <c r="CM64" i="2" a="1"/>
  <c r="FW64" i="2" a="1"/>
  <c r="K41" i="2" a="1"/>
  <c r="EL41" i="2" a="1"/>
  <c r="FK41" i="2" a="1"/>
  <c r="CE41" i="2" a="1"/>
  <c r="AM21" i="2" a="1"/>
  <c r="S41" i="2" a="1"/>
  <c r="FK21" i="2" a="1"/>
  <c r="CL41" i="2" a="1"/>
  <c r="FZ21" i="2" a="1"/>
  <c r="CT64" i="2" a="1"/>
  <c r="EX64" i="2" a="1"/>
  <c r="CR21" i="2" a="1"/>
  <c r="DE41" i="2" a="1"/>
  <c r="FN21" i="2" a="1"/>
  <c r="CD41" i="2" a="1"/>
  <c r="DH64" i="2" a="1"/>
  <c r="EX41" i="2" a="1"/>
  <c r="DN41" i="2" a="1"/>
  <c r="FE21" i="2" a="1"/>
  <c r="AZ41" i="2" a="1"/>
  <c r="Y21" i="2" a="1"/>
  <c r="CT21" i="2" a="1"/>
  <c r="DH41" i="2" a="1"/>
  <c r="Z21" i="2" a="1"/>
  <c r="EK64" i="2" a="1"/>
  <c r="BI41" i="2" a="1"/>
  <c r="Z41" i="2" a="1"/>
  <c r="M21" i="2" a="1"/>
  <c r="EY64" i="2" a="1"/>
  <c r="DV64" i="2" a="1"/>
  <c r="BJ64" i="2" a="1"/>
  <c r="DD21" i="2" a="1"/>
  <c r="AB41" i="2" a="1"/>
  <c r="DZ21" i="2" a="1"/>
  <c r="R21" i="2" a="1"/>
  <c r="FB21" i="2" a="1"/>
  <c r="FN41" i="2" a="1"/>
  <c r="EO21" i="2" a="1"/>
  <c r="DV41" i="2" a="1"/>
  <c r="DS64" i="2" a="1"/>
  <c r="AW41" i="2" a="1"/>
  <c r="H41" i="2" a="1"/>
  <c r="DR64" i="2" a="1"/>
  <c r="FU21" i="2" a="1"/>
  <c r="P21" i="2" a="1"/>
  <c r="W21" i="2" a="1"/>
  <c r="BD41" i="2" a="1"/>
  <c r="ET64" i="2" a="1"/>
  <c r="O64" i="2" a="1"/>
  <c r="DM41" i="2" a="1"/>
  <c r="AR21" i="2" a="1"/>
  <c r="AG21" i="2" a="1"/>
  <c r="EB64" i="2" a="1"/>
  <c r="V64" i="2" a="1"/>
  <c r="AV41" i="2" a="1"/>
  <c r="O41" i="2" a="1"/>
  <c r="AD41" i="2" a="1"/>
  <c r="FV41" i="2" a="1"/>
  <c r="DJ64" i="2" a="1"/>
  <c r="DI64" i="2" a="1"/>
  <c r="BK41" i="2" a="1"/>
  <c r="AJ64" i="2" a="1"/>
  <c r="AK21" i="2" a="1"/>
  <c r="X21" i="2" a="1"/>
  <c r="AT21" i="2" a="1"/>
  <c r="DU64" i="2" a="1"/>
  <c r="E64" i="2" a="1"/>
  <c r="G41" i="2" a="1"/>
  <c r="BZ64" i="2" a="1"/>
  <c r="FI21" i="2" a="1"/>
  <c r="DR21" i="2" a="1"/>
  <c r="DX21" i="2" a="1"/>
  <c r="CU21" i="2" a="1"/>
  <c r="EH21" i="2" a="1"/>
  <c r="CB41" i="2" a="1"/>
  <c r="CF64" i="2" a="1"/>
  <c r="CU41" i="2" a="1"/>
  <c r="ES41" i="2" a="1"/>
  <c r="FJ41" i="2" a="1"/>
  <c r="DE64" i="2" a="1"/>
  <c r="CK41" i="2" a="1"/>
  <c r="EW41" i="2" a="1"/>
  <c r="U41" i="2" a="1"/>
  <c r="H64" i="2" a="1"/>
  <c r="BM64" i="2" a="1"/>
  <c r="AC64" i="2" a="1"/>
  <c r="EZ21" i="2" a="1"/>
  <c r="BH41" i="2" a="1"/>
  <c r="EL21" i="2" a="1"/>
  <c r="J41" i="2" a="1"/>
  <c r="BN21" i="2" a="1"/>
  <c r="BB41" i="2" a="1"/>
  <c r="T41" i="2" a="1"/>
  <c r="BN64" i="2" a="1"/>
  <c r="BZ21" i="2" a="1"/>
  <c r="CG21" i="2" a="1"/>
  <c r="DS41" i="2" a="1"/>
  <c r="CN41" i="2" a="1"/>
  <c r="FP41" i="2" a="1"/>
  <c r="EN64" i="2" a="1"/>
  <c r="BV41" i="2" a="1"/>
  <c r="DX64" i="2" a="1"/>
  <c r="AW64" i="2" a="1"/>
  <c r="BN41" i="2" a="1"/>
  <c r="AW21" i="2" a="1"/>
  <c r="DI21" i="2" a="1"/>
  <c r="FX21" i="2" a="1"/>
  <c r="BO41" i="2" a="1"/>
  <c r="R41" i="2" a="1"/>
  <c r="DC21" i="2" a="1"/>
  <c r="DC64" i="2" a="1"/>
  <c r="EE21" i="2" a="1"/>
  <c r="BX21" i="2" a="1"/>
  <c r="BY64" i="2" a="1"/>
  <c r="FN64" i="2" a="1"/>
  <c r="P64" i="2" a="1"/>
  <c r="I41" i="2" a="1"/>
  <c r="BY21" i="2" a="1"/>
  <c r="EV21" i="2" a="1"/>
  <c r="EU21" i="2" a="1"/>
  <c r="BQ21" i="2" a="1"/>
  <c r="CZ64" i="2" a="1"/>
  <c r="EK21" i="2" a="1"/>
  <c r="FY64" i="2" a="1"/>
  <c r="GB21" i="2" a="1"/>
  <c r="X41" i="2" a="1"/>
  <c r="ES21" i="2" a="1"/>
  <c r="AO21" i="2" a="1"/>
  <c r="BF21" i="2" a="1"/>
  <c r="AQ64" i="2" a="1"/>
  <c r="FD41" i="2" a="1"/>
  <c r="FZ64" i="2" a="1"/>
  <c r="BA21" i="2" a="1"/>
  <c r="W64" i="2" a="1"/>
  <c r="FE41" i="2" a="1"/>
  <c r="BA64" i="2" a="1"/>
  <c r="FF21" i="2" a="1"/>
  <c r="CX64" i="2" a="1"/>
  <c r="BQ41" i="2" a="1"/>
  <c r="EA21" i="2" a="1"/>
  <c r="DB64" i="2" a="1"/>
  <c r="BV64" i="2" a="1"/>
  <c r="EV64" i="2" a="1"/>
  <c r="EJ41" i="2" a="1"/>
  <c r="BI64" i="2" a="1"/>
  <c r="AK64" i="2" a="1"/>
  <c r="CH64" i="2" a="1"/>
  <c r="CX41" i="2" a="1"/>
  <c r="DG64" i="2" a="1"/>
  <c r="EB21" i="2" a="1"/>
  <c r="BY41" i="2" a="1"/>
  <c r="DQ21" i="2" a="1"/>
  <c r="AI21" i="2" a="1"/>
  <c r="AC21" i="2" a="1"/>
  <c r="CG64" i="2" a="1"/>
  <c r="EK41" i="2" a="1"/>
  <c r="AD12" i="8" l="1"/>
  <c r="I7" i="2"/>
  <c r="C59" i="9"/>
  <c r="E61" i="9" s="1"/>
  <c r="F101" i="9"/>
  <c r="P7" i="2"/>
  <c r="J43" i="2"/>
  <c r="I23" i="2"/>
  <c r="O23" i="2"/>
  <c r="O7" i="2"/>
  <c r="P23" i="2"/>
  <c r="K23" i="2"/>
  <c r="F23" i="2"/>
  <c r="G23" i="2"/>
  <c r="K7" i="2"/>
  <c r="P43" i="2"/>
  <c r="L23" i="2"/>
  <c r="D23" i="2"/>
  <c r="E43" i="2"/>
  <c r="D7" i="2"/>
  <c r="L43" i="2"/>
  <c r="I43" i="2"/>
  <c r="O43" i="2"/>
  <c r="R3" i="2"/>
  <c r="Y7" i="2" s="1"/>
  <c r="F7" i="2"/>
  <c r="D43" i="2"/>
  <c r="J23" i="2"/>
  <c r="G43" i="2"/>
  <c r="G7" i="2"/>
  <c r="N7" i="2"/>
  <c r="N23" i="2"/>
  <c r="G13" i="8" a="1"/>
  <c r="G13" i="8" s="1"/>
  <c r="H13" i="8"/>
  <c r="J13" i="8" a="1"/>
  <c r="J13" i="8" s="1"/>
  <c r="J7" i="2"/>
  <c r="F89" i="9"/>
  <c r="H43" i="2"/>
  <c r="F57" i="9"/>
  <c r="E7" i="2"/>
  <c r="F56" i="9"/>
  <c r="M43" i="2"/>
  <c r="AF10" i="8"/>
  <c r="H7" i="2"/>
  <c r="F71" i="9"/>
  <c r="H23" i="2"/>
  <c r="C14" i="8" a="1"/>
  <c r="C14" i="8" s="1"/>
  <c r="L7" i="2"/>
  <c r="F69" i="9"/>
  <c r="K43" i="2"/>
  <c r="F75" i="9"/>
  <c r="E23" i="2"/>
  <c r="D18" i="9"/>
  <c r="F79" i="9"/>
  <c r="F61" i="9"/>
  <c r="F59" i="9"/>
  <c r="F81" i="9"/>
  <c r="F99" i="9"/>
  <c r="F72" i="9"/>
  <c r="F96" i="9"/>
  <c r="F97" i="9"/>
  <c r="F68" i="9"/>
  <c r="F92" i="9"/>
  <c r="F80" i="9"/>
  <c r="F83" i="9"/>
  <c r="F91" i="9"/>
  <c r="F100" i="9"/>
  <c r="F60" i="9"/>
  <c r="M7" i="2"/>
  <c r="F64" i="9"/>
  <c r="F43" i="2"/>
  <c r="M23" i="2"/>
  <c r="C67" i="9"/>
  <c r="E67" i="9" s="1"/>
  <c r="I67" i="9" s="1" a="1"/>
  <c r="I67" i="9" s="1"/>
  <c r="C99" i="9"/>
  <c r="E99" i="9" s="1"/>
  <c r="I80" i="9" a="1"/>
  <c r="I80" i="9" s="1"/>
  <c r="E64" i="2"/>
  <c r="J61" i="9" s="1" a="1"/>
  <c r="J61" i="9" s="1"/>
  <c r="AU64" i="2"/>
  <c r="FJ64" i="2"/>
  <c r="AQ64" i="2"/>
  <c r="DZ64" i="2"/>
  <c r="BS64" i="2"/>
  <c r="X64" i="2"/>
  <c r="F64" i="2"/>
  <c r="K64" i="2"/>
  <c r="CX64" i="2"/>
  <c r="AA64" i="2"/>
  <c r="EU64" i="2"/>
  <c r="DV64" i="2"/>
  <c r="AG64" i="2"/>
  <c r="AL64" i="2"/>
  <c r="DW64" i="2"/>
  <c r="FL64" i="2"/>
  <c r="R64" i="2"/>
  <c r="O64" i="2"/>
  <c r="EH64" i="2"/>
  <c r="BY64" i="2"/>
  <c r="P64" i="2"/>
  <c r="H64" i="2"/>
  <c r="Z64" i="2"/>
  <c r="EP64" i="2"/>
  <c r="AN64" i="2"/>
  <c r="BW64" i="2"/>
  <c r="DP64" i="2"/>
  <c r="ES64" i="2"/>
  <c r="FK64" i="2"/>
  <c r="CR64" i="2"/>
  <c r="FF64" i="2"/>
  <c r="CF64" i="2"/>
  <c r="BN64" i="2"/>
  <c r="EL64" i="2"/>
  <c r="BF64" i="2"/>
  <c r="L64" i="2"/>
  <c r="G64" i="2"/>
  <c r="DC64" i="2"/>
  <c r="BV64" i="2"/>
  <c r="CL64" i="2"/>
  <c r="CP64" i="2"/>
  <c r="EB64" i="2"/>
  <c r="ET64" i="2"/>
  <c r="EY64" i="2"/>
  <c r="AY64" i="2"/>
  <c r="U64" i="2"/>
  <c r="EC64" i="2"/>
  <c r="DX64" i="2"/>
  <c r="I64" i="2"/>
  <c r="BJ64" i="2"/>
  <c r="BC64" i="2"/>
  <c r="BZ64" i="2"/>
  <c r="DA64" i="2"/>
  <c r="EX64" i="2"/>
  <c r="AC64" i="2"/>
  <c r="DS64" i="2"/>
  <c r="FZ64" i="2"/>
  <c r="FD64" i="2"/>
  <c r="DM64" i="2"/>
  <c r="CG64" i="2"/>
  <c r="AI64" i="2"/>
  <c r="FH64" i="2"/>
  <c r="BB64" i="2"/>
  <c r="W64" i="2"/>
  <c r="EW64" i="2"/>
  <c r="AF64" i="2"/>
  <c r="CA64" i="2"/>
  <c r="FB64" i="2"/>
  <c r="ER64" i="2"/>
  <c r="ED64" i="2"/>
  <c r="CC64" i="2"/>
  <c r="CB64" i="2"/>
  <c r="AV64" i="2"/>
  <c r="BH64" i="2"/>
  <c r="GA64" i="2"/>
  <c r="FW64" i="2"/>
  <c r="DO64" i="2"/>
  <c r="CU64" i="2"/>
  <c r="DT64" i="2"/>
  <c r="EJ64" i="2"/>
  <c r="FG64" i="2"/>
  <c r="EN64" i="2"/>
  <c r="FY64" i="2"/>
  <c r="GB64" i="2"/>
  <c r="BX64" i="2"/>
  <c r="V64" i="2"/>
  <c r="CN64" i="2"/>
  <c r="FC64" i="2"/>
  <c r="BP64" i="2"/>
  <c r="J64" i="2"/>
  <c r="DR64" i="2"/>
  <c r="DE64" i="2"/>
  <c r="DF64" i="2"/>
  <c r="CQ64" i="2"/>
  <c r="FX64" i="2"/>
  <c r="DL64" i="2"/>
  <c r="FM64" i="2"/>
  <c r="DB64" i="2"/>
  <c r="FR64" i="2"/>
  <c r="CJ64" i="2"/>
  <c r="FN64" i="2"/>
  <c r="FV64" i="2"/>
  <c r="CT64" i="2"/>
  <c r="N64" i="2"/>
  <c r="FS64" i="2"/>
  <c r="CY64" i="2"/>
  <c r="BA64" i="2"/>
  <c r="DQ64" i="2"/>
  <c r="AO64" i="2"/>
  <c r="DH64" i="2"/>
  <c r="CO64" i="2"/>
  <c r="DD64" i="2"/>
  <c r="CZ64" i="2"/>
  <c r="DJ64" i="2"/>
  <c r="M64" i="2"/>
  <c r="AX64" i="2"/>
  <c r="DN64" i="2"/>
  <c r="D64" i="2"/>
  <c r="CE64" i="2"/>
  <c r="BR64" i="2"/>
  <c r="BI64" i="2"/>
  <c r="FT64" i="2"/>
  <c r="DG64" i="2"/>
  <c r="FE64" i="2"/>
  <c r="EV64" i="2"/>
  <c r="EI64" i="2"/>
  <c r="EQ64" i="2"/>
  <c r="AM64" i="2"/>
  <c r="EZ64" i="2"/>
  <c r="AJ64" i="2"/>
  <c r="FQ64" i="2"/>
  <c r="AR64" i="2"/>
  <c r="AZ64" i="2"/>
  <c r="CK64" i="2"/>
  <c r="AT64" i="2"/>
  <c r="Y64" i="2"/>
  <c r="EK64" i="2"/>
  <c r="AH64" i="2"/>
  <c r="EG64" i="2"/>
  <c r="BK64" i="2"/>
  <c r="T64" i="2"/>
  <c r="BQ64" i="2"/>
  <c r="BL64" i="2"/>
  <c r="CS64" i="2"/>
  <c r="AB64" i="2"/>
  <c r="FP64" i="2"/>
  <c r="EA64" i="2"/>
  <c r="AK64" i="2"/>
  <c r="BM64" i="2"/>
  <c r="CD64" i="2"/>
  <c r="EO64" i="2"/>
  <c r="AW64" i="2"/>
  <c r="EF64" i="2"/>
  <c r="BO64" i="2"/>
  <c r="S64" i="2"/>
  <c r="AP64" i="2"/>
  <c r="EE64" i="2"/>
  <c r="DI64" i="2"/>
  <c r="FU64" i="2"/>
  <c r="FI64" i="2"/>
  <c r="DU64" i="2"/>
  <c r="CM64" i="2"/>
  <c r="BD64" i="2"/>
  <c r="BE64" i="2"/>
  <c r="CH64" i="2"/>
  <c r="CV64" i="2"/>
  <c r="BT64" i="2"/>
  <c r="AD64" i="2"/>
  <c r="DL21" i="2"/>
  <c r="CR21" i="2"/>
  <c r="FZ21" i="2"/>
  <c r="BP41" i="2"/>
  <c r="FI41" i="2"/>
  <c r="I41" i="2"/>
  <c r="AI21" i="2"/>
  <c r="DP41" i="2"/>
  <c r="FP41" i="2"/>
  <c r="E41" i="2"/>
  <c r="DI41" i="2"/>
  <c r="O41" i="2"/>
  <c r="G41" i="2"/>
  <c r="K41" i="2"/>
  <c r="BA41" i="2"/>
  <c r="AA41" i="2"/>
  <c r="AO21" i="2"/>
  <c r="EO41" i="2"/>
  <c r="CS41" i="2"/>
  <c r="CK41" i="2"/>
  <c r="CT41" i="2"/>
  <c r="FY21" i="2"/>
  <c r="N41" i="2"/>
  <c r="D41" i="2"/>
  <c r="X41" i="2"/>
  <c r="ET41" i="2"/>
  <c r="DB21" i="2"/>
  <c r="DW41" i="2"/>
  <c r="CB41" i="2"/>
  <c r="AN21" i="2"/>
  <c r="EJ21" i="2"/>
  <c r="CF41" i="2"/>
  <c r="H41" i="2"/>
  <c r="F41" i="2"/>
  <c r="EX21" i="2"/>
  <c r="CY21" i="2"/>
  <c r="CO21" i="2"/>
  <c r="AF21" i="2"/>
  <c r="BV41" i="2"/>
  <c r="EH41" i="2"/>
  <c r="FX41" i="2"/>
  <c r="DO41" i="2"/>
  <c r="P41" i="2"/>
  <c r="L41" i="2"/>
  <c r="M21" i="2"/>
  <c r="EK21" i="2"/>
  <c r="CM21" i="2"/>
  <c r="ED21" i="2"/>
  <c r="EY41" i="2"/>
  <c r="AH21" i="2"/>
  <c r="AY21" i="2"/>
  <c r="CF21" i="2"/>
  <c r="DQ41" i="2"/>
  <c r="BB41" i="2"/>
  <c r="AG21" i="2"/>
  <c r="BE21" i="2"/>
  <c r="CU41" i="2"/>
  <c r="CG41" i="2"/>
  <c r="FU41" i="2"/>
  <c r="CX21" i="2"/>
  <c r="CX41" i="2"/>
  <c r="U21" i="2"/>
  <c r="ER21" i="2"/>
  <c r="EF41" i="2"/>
  <c r="CU21" i="2"/>
  <c r="FH21" i="2"/>
  <c r="J41" i="2"/>
  <c r="CL21" i="2"/>
  <c r="V21" i="2"/>
  <c r="AB41" i="2"/>
  <c r="G21" i="2"/>
  <c r="DG41" i="2"/>
  <c r="ES41" i="2"/>
  <c r="CK21" i="2"/>
  <c r="BZ41" i="2"/>
  <c r="DZ21" i="2"/>
  <c r="DS21" i="2"/>
  <c r="CE41" i="2"/>
  <c r="FT41" i="2"/>
  <c r="AX41" i="2"/>
  <c r="FW41" i="2"/>
  <c r="BP21" i="2"/>
  <c r="FG21" i="2"/>
  <c r="EF21" i="2"/>
  <c r="AW41" i="2"/>
  <c r="BS41" i="2"/>
  <c r="DL41" i="2"/>
  <c r="AP21" i="2"/>
  <c r="BH21" i="2"/>
  <c r="EH21" i="2"/>
  <c r="DH21" i="2"/>
  <c r="FB21" i="2"/>
  <c r="BQ41" i="2"/>
  <c r="AW21" i="2"/>
  <c r="DC21" i="2"/>
  <c r="DZ41" i="2"/>
  <c r="CL41" i="2"/>
  <c r="FP21" i="2"/>
  <c r="BY21" i="2"/>
  <c r="CJ21" i="2"/>
  <c r="R21" i="2"/>
  <c r="CS21" i="2"/>
  <c r="EB41" i="2"/>
  <c r="CZ41" i="2"/>
  <c r="BM21" i="2"/>
  <c r="AY41" i="2"/>
  <c r="BK41" i="2"/>
  <c r="FV21" i="2"/>
  <c r="CO41" i="2"/>
  <c r="DC41" i="2"/>
  <c r="CA21" i="2"/>
  <c r="DV21" i="2"/>
  <c r="DF21" i="2"/>
  <c r="BY41" i="2"/>
  <c r="FF21" i="2"/>
  <c r="AA21" i="2"/>
  <c r="U41" i="2"/>
  <c r="BD41" i="2"/>
  <c r="D21" i="2"/>
  <c r="EK41" i="2"/>
  <c r="DP21" i="2"/>
  <c r="FM41" i="2"/>
  <c r="EE21" i="2"/>
  <c r="CD21" i="2"/>
  <c r="EA21" i="2"/>
  <c r="CG21" i="2"/>
  <c r="DD41" i="2"/>
  <c r="FZ41" i="2"/>
  <c r="CJ41" i="2"/>
  <c r="BX41" i="2"/>
  <c r="DO21" i="2"/>
  <c r="AM21" i="2"/>
  <c r="CC41" i="2"/>
  <c r="BS21" i="2"/>
  <c r="M41" i="2"/>
  <c r="EI41" i="2"/>
  <c r="DF41" i="2"/>
  <c r="BZ21" i="2"/>
  <c r="CP21" i="2"/>
  <c r="FW21" i="2"/>
  <c r="FR21" i="2"/>
  <c r="Z41" i="2"/>
  <c r="F21" i="2"/>
  <c r="EE41" i="2"/>
  <c r="I21" i="2"/>
  <c r="Y41" i="2"/>
  <c r="BC41" i="2"/>
  <c r="DI21" i="2"/>
  <c r="CN41" i="2"/>
  <c r="FU21" i="2"/>
  <c r="EA41" i="2"/>
  <c r="DN41" i="2"/>
  <c r="K21" i="2"/>
  <c r="DU21" i="2"/>
  <c r="DA41" i="2"/>
  <c r="DE21" i="2"/>
  <c r="DR21" i="2"/>
  <c r="O21" i="2"/>
  <c r="CQ21" i="2"/>
  <c r="ER41" i="2"/>
  <c r="AQ21" i="2"/>
  <c r="AT21" i="2"/>
  <c r="CM41" i="2"/>
  <c r="E21" i="2"/>
  <c r="AZ41" i="2"/>
  <c r="EB21" i="2"/>
  <c r="EJ41" i="2"/>
  <c r="AC41" i="2"/>
  <c r="BJ21" i="2"/>
  <c r="CR41" i="2"/>
  <c r="AV41" i="2"/>
  <c r="H21" i="2"/>
  <c r="BH41" i="2"/>
  <c r="ET21" i="2"/>
  <c r="AU21" i="2"/>
  <c r="DN21" i="2"/>
  <c r="DE41" i="2"/>
  <c r="Z21" i="2"/>
  <c r="EC41" i="2"/>
  <c r="ES21" i="2"/>
  <c r="EI21" i="2"/>
  <c r="CN21" i="2"/>
  <c r="W21" i="2"/>
  <c r="X21" i="2"/>
  <c r="CP41" i="2"/>
  <c r="FB41" i="2"/>
  <c r="EV41" i="2"/>
  <c r="GA41" i="2"/>
  <c r="EO21" i="2"/>
  <c r="FG41" i="2"/>
  <c r="BN21" i="2"/>
  <c r="V41" i="2"/>
  <c r="CQ41" i="2"/>
  <c r="AK21" i="2"/>
  <c r="FS21" i="2"/>
  <c r="T41" i="2"/>
  <c r="DB41" i="2"/>
  <c r="EY21" i="2"/>
  <c r="EP21" i="2"/>
  <c r="BR21" i="2"/>
  <c r="BN41" i="2"/>
  <c r="BO21" i="2"/>
  <c r="BE41" i="2"/>
  <c r="FJ41" i="2"/>
  <c r="FK21" i="2"/>
  <c r="FE21" i="2"/>
  <c r="ED41" i="2"/>
  <c r="FD21" i="2"/>
  <c r="L21" i="2"/>
  <c r="BI21" i="2"/>
  <c r="FF41" i="2"/>
  <c r="FJ21" i="2"/>
  <c r="CA41" i="2"/>
  <c r="BR41" i="2"/>
  <c r="AX21" i="2"/>
  <c r="DT41" i="2"/>
  <c r="FL41" i="2"/>
  <c r="AJ21" i="2"/>
  <c r="FI21" i="2"/>
  <c r="DU41" i="2"/>
  <c r="R41" i="2"/>
  <c r="CD41" i="2"/>
  <c r="FN21" i="2"/>
  <c r="EL21" i="2"/>
  <c r="FC21" i="2"/>
  <c r="T21" i="2"/>
  <c r="BW41" i="2"/>
  <c r="EG41" i="2"/>
  <c r="EU21" i="2"/>
  <c r="S41" i="2"/>
  <c r="AC21" i="2"/>
  <c r="DW21" i="2"/>
  <c r="BL41" i="2"/>
  <c r="CE21" i="2"/>
  <c r="BM41" i="2"/>
  <c r="FS41" i="2"/>
  <c r="AL21" i="2"/>
  <c r="EG21" i="2"/>
  <c r="AB21" i="2"/>
  <c r="FD41" i="2"/>
  <c r="EW41" i="2"/>
  <c r="EQ21" i="2"/>
  <c r="AR21" i="2"/>
  <c r="FL21" i="2"/>
  <c r="DR41" i="2"/>
  <c r="DT21" i="2"/>
  <c r="AV21" i="2"/>
  <c r="DD21" i="2"/>
  <c r="AT41" i="2"/>
  <c r="EW21" i="2"/>
  <c r="CY41" i="2"/>
  <c r="DQ21" i="2"/>
  <c r="FQ41" i="2"/>
  <c r="DJ41" i="2"/>
  <c r="BX21" i="2"/>
  <c r="EC21" i="2"/>
  <c r="BI41" i="2"/>
  <c r="EN21" i="2"/>
  <c r="CB21" i="2"/>
  <c r="AU41" i="2"/>
  <c r="GA21" i="2"/>
  <c r="BL21" i="2"/>
  <c r="FV41" i="2"/>
  <c r="FY41" i="2"/>
  <c r="N21" i="2"/>
  <c r="DV41" i="2"/>
  <c r="BO41" i="2"/>
  <c r="EQ41" i="2"/>
  <c r="J21" i="2"/>
  <c r="Y21" i="2"/>
  <c r="DH41" i="2"/>
  <c r="FK41" i="2"/>
  <c r="CC21" i="2"/>
  <c r="FC41" i="2"/>
  <c r="EV21" i="2"/>
  <c r="DM21" i="2"/>
  <c r="CT21" i="2"/>
  <c r="DM41" i="2"/>
  <c r="FT21" i="2"/>
  <c r="FM21" i="2"/>
  <c r="BC21" i="2"/>
  <c r="FX21" i="2"/>
  <c r="BK21" i="2"/>
  <c r="BW21" i="2"/>
  <c r="BD21" i="2"/>
  <c r="BJ41" i="2"/>
  <c r="DS41" i="2"/>
  <c r="DA21" i="2"/>
  <c r="BV21" i="2"/>
  <c r="BQ21" i="2"/>
  <c r="CH21" i="2"/>
  <c r="BF41" i="2"/>
  <c r="BA21" i="2"/>
  <c r="BB21" i="2"/>
  <c r="S21" i="2"/>
  <c r="AZ21" i="2"/>
  <c r="FH41" i="2"/>
  <c r="FE41" i="2"/>
  <c r="EP41" i="2"/>
  <c r="EU41" i="2"/>
  <c r="W41" i="2"/>
  <c r="FQ21" i="2"/>
  <c r="FR41" i="2"/>
  <c r="CZ21" i="2"/>
  <c r="EN41" i="2"/>
  <c r="DG21" i="2"/>
  <c r="EX41" i="2"/>
  <c r="FN41" i="2"/>
  <c r="EL41" i="2"/>
  <c r="DJ21" i="2"/>
  <c r="CH41" i="2"/>
  <c r="BF21" i="2"/>
  <c r="GB21" i="2"/>
  <c r="P21" i="2"/>
  <c r="GB41" i="2"/>
  <c r="EZ21" i="2"/>
  <c r="DX21" i="2"/>
  <c r="CV21" i="2"/>
  <c r="BT21" i="2"/>
  <c r="EZ41" i="2"/>
  <c r="DX41" i="2"/>
  <c r="CV41" i="2"/>
  <c r="BT41" i="2"/>
  <c r="AD41" i="2"/>
  <c r="AD21" i="2"/>
  <c r="E101" i="9"/>
  <c r="Y23" i="2"/>
  <c r="U23" i="2"/>
  <c r="AA7" i="2"/>
  <c r="V43" i="2"/>
  <c r="AB43" i="2"/>
  <c r="R43" i="2"/>
  <c r="W43" i="2"/>
  <c r="H14" i="8"/>
  <c r="J14" i="8" a="1"/>
  <c r="J14" i="8" s="1"/>
  <c r="E14" i="8" a="1"/>
  <c r="E14" i="8" s="1"/>
  <c r="C15" i="8" a="1"/>
  <c r="C15" i="8" s="1"/>
  <c r="G14" i="8" a="1"/>
  <c r="G14" i="8" s="1"/>
  <c r="E81" i="9"/>
  <c r="I81" i="9" s="1" a="1"/>
  <c r="I81" i="9" s="1"/>
  <c r="E79" i="9"/>
  <c r="I79" i="9" s="1" a="1"/>
  <c r="I79" i="9" s="1"/>
  <c r="L12" i="8" a="1"/>
  <c r="L12" i="8" s="1"/>
  <c r="D12" i="8"/>
  <c r="I12" i="8" s="1" a="1"/>
  <c r="I12" i="8" s="1"/>
  <c r="K12" i="8" a="1"/>
  <c r="K12" i="8" s="1"/>
  <c r="C95" i="9"/>
  <c r="C63" i="9"/>
  <c r="C83" i="9"/>
  <c r="C91" i="9"/>
  <c r="C75" i="9"/>
  <c r="C87" i="9"/>
  <c r="C71" i="9"/>
  <c r="C55" i="9"/>
  <c r="I61" i="9" a="1"/>
  <c r="I61" i="9" s="1"/>
  <c r="F12" i="8"/>
  <c r="D19" i="9"/>
  <c r="D20" i="9" s="1" a="1"/>
  <c r="D20" i="9" s="1"/>
  <c r="D7" i="9"/>
  <c r="E59" i="9"/>
  <c r="E60" i="9"/>
  <c r="AB12" i="8"/>
  <c r="AC12" i="8"/>
  <c r="AA12" i="8"/>
  <c r="F63" i="9"/>
  <c r="F73" i="9"/>
  <c r="F84" i="9"/>
  <c r="F85" i="9"/>
  <c r="F55" i="9"/>
  <c r="E13" i="8" a="1"/>
  <c r="E13" i="8" s="1"/>
  <c r="F87" i="9"/>
  <c r="F88" i="9"/>
  <c r="F77" i="9"/>
  <c r="D10" i="9"/>
  <c r="D11" i="9" s="1"/>
  <c r="Y10" i="8"/>
  <c r="F93" i="9"/>
  <c r="F65" i="9"/>
  <c r="F95" i="9"/>
  <c r="F67" i="9"/>
  <c r="AC43" i="2" l="1"/>
  <c r="AB7" i="2"/>
  <c r="V7" i="2"/>
  <c r="Z7" i="2"/>
  <c r="W7" i="2"/>
  <c r="W23" i="2"/>
  <c r="U43" i="2"/>
  <c r="AB23" i="2"/>
  <c r="E68" i="9"/>
  <c r="E69" i="9"/>
  <c r="I69" i="9" s="1" a="1"/>
  <c r="I69" i="9" s="1"/>
  <c r="E100" i="9"/>
  <c r="Z43" i="2"/>
  <c r="S23" i="2"/>
  <c r="R7" i="2"/>
  <c r="AD43" i="2"/>
  <c r="AA43" i="2"/>
  <c r="AA23" i="2"/>
  <c r="AF3" i="2"/>
  <c r="AH7" i="2" s="1"/>
  <c r="X7" i="2"/>
  <c r="AD7" i="2"/>
  <c r="L5" i="2"/>
  <c r="L4" i="2" s="1"/>
  <c r="BK5" i="2"/>
  <c r="BK4" i="2" s="1"/>
  <c r="DW5" i="2"/>
  <c r="DW4" i="2" s="1"/>
  <c r="CZ5" i="2"/>
  <c r="CZ4" i="2" s="1"/>
  <c r="AZ5" i="2"/>
  <c r="AZ4" i="2" s="1"/>
  <c r="DN5" i="2"/>
  <c r="DN4" i="2" s="1"/>
  <c r="FM5" i="2"/>
  <c r="FM4" i="2" s="1"/>
  <c r="DD5" i="2"/>
  <c r="DD4" i="2" s="1"/>
  <c r="BR5" i="2"/>
  <c r="BR4" i="2" s="1"/>
  <c r="X5" i="2"/>
  <c r="X4" i="2" s="1"/>
  <c r="DV5" i="2"/>
  <c r="DV4" i="2" s="1"/>
  <c r="ED5" i="2"/>
  <c r="ED4" i="2" s="1"/>
  <c r="CT5" i="2"/>
  <c r="CT4" i="2" s="1"/>
  <c r="ES5" i="2"/>
  <c r="ES4" i="2" s="1"/>
  <c r="D21" i="9"/>
  <c r="CV5" i="2"/>
  <c r="CV4" i="2" s="1"/>
  <c r="DJ5" i="2"/>
  <c r="DJ4" i="2" s="1"/>
  <c r="BB5" i="2"/>
  <c r="BB4" i="2" s="1"/>
  <c r="ET5" i="2"/>
  <c r="ET4" i="2" s="1"/>
  <c r="EB5" i="2"/>
  <c r="EB4" i="2" s="1"/>
  <c r="O5" i="2"/>
  <c r="O4" i="2" s="1"/>
  <c r="FU5" i="2"/>
  <c r="FU4" i="2" s="1"/>
  <c r="DM5" i="2"/>
  <c r="DM4" i="2" s="1"/>
  <c r="DQ5" i="2"/>
  <c r="DQ4" i="2" s="1"/>
  <c r="FL5" i="2"/>
  <c r="FL4" i="2" s="1"/>
  <c r="H5" i="2"/>
  <c r="H4" i="2" s="1"/>
  <c r="E5" i="2"/>
  <c r="E4" i="2" s="1"/>
  <c r="DI5" i="2"/>
  <c r="DI4" i="2" s="1"/>
  <c r="FV5" i="2"/>
  <c r="FV4" i="2" s="1"/>
  <c r="S43" i="2"/>
  <c r="AD23" i="2"/>
  <c r="X43" i="2"/>
  <c r="V23" i="2"/>
  <c r="X23" i="2"/>
  <c r="T43" i="2"/>
  <c r="T7" i="2"/>
  <c r="AC23" i="2"/>
  <c r="S7" i="2"/>
  <c r="T23" i="2"/>
  <c r="U7" i="2"/>
  <c r="Y43" i="2"/>
  <c r="Z23" i="2"/>
  <c r="R23" i="2"/>
  <c r="AC7" i="2"/>
  <c r="CH5" i="2"/>
  <c r="CH4" i="2" s="1"/>
  <c r="EV5" i="2"/>
  <c r="EV4" i="2" s="1"/>
  <c r="CB5" i="2"/>
  <c r="CB4" i="2" s="1"/>
  <c r="DO5" i="2"/>
  <c r="DO4" i="2" s="1"/>
  <c r="BY5" i="2"/>
  <c r="BY4" i="2" s="1"/>
  <c r="DH5" i="2"/>
  <c r="DH4" i="2" s="1"/>
  <c r="J80" i="9" a="1"/>
  <c r="J80" i="9" s="1"/>
  <c r="M80" i="9" s="1"/>
  <c r="J79" i="9" a="1"/>
  <c r="J79" i="9" s="1"/>
  <c r="M79" i="9" s="1"/>
  <c r="CE5" i="2"/>
  <c r="CE4" i="2" s="1"/>
  <c r="J81" i="9" a="1"/>
  <c r="J81" i="9" s="1"/>
  <c r="K81" i="9" s="1"/>
  <c r="BV5" i="2"/>
  <c r="BV4" i="2" s="1"/>
  <c r="CC5" i="2"/>
  <c r="CC4" i="2" s="1"/>
  <c r="N5" i="2"/>
  <c r="N4" i="2" s="1"/>
  <c r="FC5" i="2"/>
  <c r="FC4" i="2" s="1"/>
  <c r="K5" i="2"/>
  <c r="K4" i="2" s="1"/>
  <c r="I5" i="2"/>
  <c r="I4" i="2" s="1"/>
  <c r="CU5" i="2"/>
  <c r="CU4" i="2" s="1"/>
  <c r="BF5" i="2"/>
  <c r="BF4" i="2" s="1"/>
  <c r="FJ5" i="2"/>
  <c r="FJ4" i="2" s="1"/>
  <c r="FW5" i="2"/>
  <c r="FW4" i="2" s="1"/>
  <c r="BJ5" i="2"/>
  <c r="BJ4" i="2" s="1"/>
  <c r="FT5" i="2"/>
  <c r="FT4" i="2" s="1"/>
  <c r="F5" i="2"/>
  <c r="F4" i="2" s="1"/>
  <c r="EC5" i="2"/>
  <c r="EC4" i="2" s="1"/>
  <c r="FE5" i="2"/>
  <c r="FE4" i="2" s="1"/>
  <c r="DA5" i="2"/>
  <c r="DA4" i="2" s="1"/>
  <c r="AD5" i="2"/>
  <c r="AD4" i="2" s="1"/>
  <c r="BA5" i="2"/>
  <c r="BA4" i="2" s="1"/>
  <c r="BD5" i="2"/>
  <c r="BD4" i="2" s="1"/>
  <c r="J5" i="2"/>
  <c r="J4" i="2" s="1"/>
  <c r="GA5" i="2"/>
  <c r="GA4" i="2" s="1"/>
  <c r="EO5" i="2"/>
  <c r="EO4" i="2" s="1"/>
  <c r="EI5" i="2"/>
  <c r="EI4" i="2" s="1"/>
  <c r="FR5" i="2"/>
  <c r="FR4" i="2" s="1"/>
  <c r="EA5" i="2"/>
  <c r="EA4" i="2" s="1"/>
  <c r="DS5" i="2"/>
  <c r="DS4" i="2" s="1"/>
  <c r="M5" i="2"/>
  <c r="M4" i="2" s="1"/>
  <c r="BW5" i="2"/>
  <c r="BW4" i="2" s="1"/>
  <c r="CD5" i="2"/>
  <c r="CD4" i="2" s="1"/>
  <c r="FB5" i="2"/>
  <c r="FB4" i="2" s="1"/>
  <c r="GB5" i="2"/>
  <c r="GB4" i="2" s="1"/>
  <c r="BC5" i="2"/>
  <c r="BC4" i="2" s="1"/>
  <c r="DP5" i="2"/>
  <c r="DP4" i="2" s="1"/>
  <c r="BM5" i="2"/>
  <c r="BM4" i="2" s="1"/>
  <c r="BE5" i="2"/>
  <c r="BE4" i="2" s="1"/>
  <c r="P61" i="9"/>
  <c r="M61" i="9"/>
  <c r="F13" i="8"/>
  <c r="D13" i="8"/>
  <c r="I13" i="8" s="1" a="1"/>
  <c r="I13" i="8" s="1"/>
  <c r="K13" i="8" s="1" a="1"/>
  <c r="K13" i="8" s="1"/>
  <c r="L13" i="8" a="1"/>
  <c r="L13" i="8" s="1"/>
  <c r="E57" i="9"/>
  <c r="E56" i="9"/>
  <c r="E55" i="9"/>
  <c r="E75" i="9"/>
  <c r="E76" i="9"/>
  <c r="E77" i="9"/>
  <c r="I99" i="9" a="1"/>
  <c r="I99" i="9" s="1"/>
  <c r="J99" i="9" a="1"/>
  <c r="J99" i="9" s="1"/>
  <c r="BT5" i="2"/>
  <c r="BT4" i="2" s="1"/>
  <c r="S5" i="2"/>
  <c r="S4" i="2" s="1"/>
  <c r="BX5" i="2"/>
  <c r="BX4" i="2" s="1"/>
  <c r="AV5" i="2"/>
  <c r="AV4" i="2" s="1"/>
  <c r="AB5" i="2"/>
  <c r="AB4" i="2" s="1"/>
  <c r="AC5" i="2"/>
  <c r="AC4" i="2" s="1"/>
  <c r="FN5" i="2"/>
  <c r="FN4" i="2" s="1"/>
  <c r="AX5" i="2"/>
  <c r="AX4" i="2" s="1"/>
  <c r="EP5" i="2"/>
  <c r="EP4" i="2" s="1"/>
  <c r="BN5" i="2"/>
  <c r="BN4" i="2" s="1"/>
  <c r="W5" i="2"/>
  <c r="W4" i="2" s="1"/>
  <c r="AU5" i="2"/>
  <c r="AU4" i="2" s="1"/>
  <c r="CQ5" i="2"/>
  <c r="CQ4" i="2" s="1"/>
  <c r="D5" i="2"/>
  <c r="D4" i="2" s="1"/>
  <c r="CA5" i="2"/>
  <c r="CA4" i="2" s="1"/>
  <c r="DC5" i="2"/>
  <c r="DC4" i="2" s="1"/>
  <c r="J67" i="9" a="1"/>
  <c r="J67" i="9" s="1"/>
  <c r="K67" i="9" s="1"/>
  <c r="N67" i="9" s="1"/>
  <c r="G5" i="2"/>
  <c r="G4" i="2" s="1"/>
  <c r="ER5" i="2"/>
  <c r="ER4" i="2" s="1"/>
  <c r="AG36" i="2"/>
  <c r="CM5" i="2"/>
  <c r="CM4" i="2" s="1"/>
  <c r="EJ5" i="2"/>
  <c r="EJ4" i="2" s="1"/>
  <c r="AI36" i="2"/>
  <c r="I60" i="9" a="1"/>
  <c r="I60" i="9" s="1"/>
  <c r="J60" i="9" a="1"/>
  <c r="J60" i="9" s="1"/>
  <c r="E72" i="9"/>
  <c r="E73" i="9"/>
  <c r="E71" i="9"/>
  <c r="G15" i="8" a="1"/>
  <c r="G15" i="8" s="1"/>
  <c r="H15" i="8"/>
  <c r="E15" i="8" a="1"/>
  <c r="E15" i="8" s="1"/>
  <c r="J15" i="8" a="1"/>
  <c r="J15" i="8" s="1"/>
  <c r="C16" i="8" a="1"/>
  <c r="C16" i="8" s="1"/>
  <c r="I101" i="9" a="1"/>
  <c r="I101" i="9" s="1"/>
  <c r="J101" i="9" a="1"/>
  <c r="J101" i="9" s="1"/>
  <c r="FQ5" i="2"/>
  <c r="FQ4" i="2" s="1"/>
  <c r="Y5" i="2"/>
  <c r="Y4" i="2" s="1"/>
  <c r="BL5" i="2"/>
  <c r="BL4" i="2" s="1"/>
  <c r="DT5" i="2"/>
  <c r="DT4" i="2" s="1"/>
  <c r="EG5" i="2"/>
  <c r="EG4" i="2" s="1"/>
  <c r="EY5" i="2"/>
  <c r="EY4" i="2" s="1"/>
  <c r="CN5" i="2"/>
  <c r="CN4" i="2" s="1"/>
  <c r="BS5" i="2"/>
  <c r="BS4" i="2" s="1"/>
  <c r="CG5" i="2"/>
  <c r="CG4" i="2" s="1"/>
  <c r="CS5" i="2"/>
  <c r="CS4" i="2" s="1"/>
  <c r="AW5" i="2"/>
  <c r="AW4" i="2" s="1"/>
  <c r="U5" i="2"/>
  <c r="U4" i="2" s="1"/>
  <c r="EK5" i="2"/>
  <c r="EK4" i="2" s="1"/>
  <c r="AF36" i="2"/>
  <c r="AN36" i="2"/>
  <c r="FY5" i="2"/>
  <c r="FY4" i="2" s="1"/>
  <c r="I59" i="9" a="1"/>
  <c r="I59" i="9" s="1"/>
  <c r="J59" i="9" a="1"/>
  <c r="J59" i="9" s="1"/>
  <c r="E63" i="9"/>
  <c r="E64" i="9"/>
  <c r="E65" i="9"/>
  <c r="F14" i="8"/>
  <c r="L14" i="8" a="1"/>
  <c r="L14" i="8" s="1"/>
  <c r="DX5" i="2"/>
  <c r="DX4" i="2" s="1"/>
  <c r="AL36" i="2"/>
  <c r="EU5" i="2"/>
  <c r="EU4" i="2" s="1"/>
  <c r="FK5" i="2"/>
  <c r="FK4" i="2" s="1"/>
  <c r="DR5" i="2"/>
  <c r="DR4" i="2" s="1"/>
  <c r="R5" i="2"/>
  <c r="R4" i="2" s="1"/>
  <c r="V5" i="2"/>
  <c r="V4" i="2" s="1"/>
  <c r="CO5" i="2"/>
  <c r="CO4" i="2" s="1"/>
  <c r="EZ5" i="2"/>
  <c r="EZ4" i="2" s="1"/>
  <c r="DE5" i="2"/>
  <c r="DE4" i="2" s="1"/>
  <c r="AM36" i="2"/>
  <c r="AA5" i="2"/>
  <c r="AA4" i="2" s="1"/>
  <c r="CJ5" i="2"/>
  <c r="CJ4" i="2" s="1"/>
  <c r="EF5" i="2"/>
  <c r="EF4" i="2" s="1"/>
  <c r="DZ5" i="2"/>
  <c r="DZ4" i="2" s="1"/>
  <c r="CL5" i="2"/>
  <c r="CL4" i="2" s="1"/>
  <c r="CX5" i="2"/>
  <c r="CX4" i="2" s="1"/>
  <c r="CF5" i="2"/>
  <c r="CF4" i="2" s="1"/>
  <c r="CY5" i="2"/>
  <c r="CY4" i="2" s="1"/>
  <c r="FI5" i="2"/>
  <c r="FI4" i="2" s="1"/>
  <c r="FS5" i="2"/>
  <c r="FS4" i="2" s="1"/>
  <c r="CP5" i="2"/>
  <c r="CP4" i="2" s="1"/>
  <c r="EE5" i="2"/>
  <c r="EE4" i="2" s="1"/>
  <c r="FF5" i="2"/>
  <c r="FF4" i="2" s="1"/>
  <c r="FG5" i="2"/>
  <c r="FG4" i="2" s="1"/>
  <c r="AY5" i="2"/>
  <c r="AY4" i="2" s="1"/>
  <c r="EX5" i="2"/>
  <c r="EX4" i="2" s="1"/>
  <c r="DB5" i="2"/>
  <c r="DB4" i="2" s="1"/>
  <c r="FZ5" i="2"/>
  <c r="FZ4" i="2" s="1"/>
  <c r="AQ43" i="2"/>
  <c r="AF43" i="2"/>
  <c r="AK43" i="2"/>
  <c r="AT3" i="2"/>
  <c r="AJ23" i="2"/>
  <c r="AK7" i="2"/>
  <c r="AO23" i="2"/>
  <c r="AL7" i="2"/>
  <c r="AR43" i="2"/>
  <c r="AL23" i="2"/>
  <c r="AP7" i="2"/>
  <c r="AR7" i="2"/>
  <c r="AG43" i="2"/>
  <c r="AO7" i="2"/>
  <c r="AK23" i="2"/>
  <c r="AN23" i="2"/>
  <c r="AM43" i="2"/>
  <c r="AL43" i="2"/>
  <c r="AG7" i="2"/>
  <c r="AI23" i="2"/>
  <c r="AN7" i="2"/>
  <c r="P5" i="2"/>
  <c r="P4" i="2" s="1"/>
  <c r="DG5" i="2"/>
  <c r="DG4" i="2" s="1"/>
  <c r="BQ5" i="2"/>
  <c r="BQ4" i="2" s="1"/>
  <c r="FX5" i="2"/>
  <c r="FX4" i="2" s="1"/>
  <c r="EN5" i="2"/>
  <c r="EN4" i="2" s="1"/>
  <c r="EW5" i="2"/>
  <c r="EW4" i="2" s="1"/>
  <c r="EQ5" i="2"/>
  <c r="EQ4" i="2" s="1"/>
  <c r="T5" i="2"/>
  <c r="T4" i="2" s="1"/>
  <c r="AJ36" i="2"/>
  <c r="BI5" i="2"/>
  <c r="BI4" i="2" s="1"/>
  <c r="BO5" i="2"/>
  <c r="BO4" i="2" s="1"/>
  <c r="AK36" i="2"/>
  <c r="Z5" i="2"/>
  <c r="Z4" i="2" s="1"/>
  <c r="AT5" i="2"/>
  <c r="AT4" i="2" s="1"/>
  <c r="DU5" i="2"/>
  <c r="DU4" i="2" s="1"/>
  <c r="BZ5" i="2"/>
  <c r="BZ4" i="2" s="1"/>
  <c r="FP5" i="2"/>
  <c r="FP4" i="2" s="1"/>
  <c r="EH5" i="2"/>
  <c r="EH4" i="2" s="1"/>
  <c r="BP5" i="2"/>
  <c r="BP4" i="2" s="1"/>
  <c r="CK5" i="2"/>
  <c r="CK4" i="2" s="1"/>
  <c r="FH5" i="2"/>
  <c r="FH4" i="2" s="1"/>
  <c r="AH36" i="2"/>
  <c r="CR5" i="2"/>
  <c r="CR4" i="2" s="1"/>
  <c r="E91" i="9"/>
  <c r="E93" i="9"/>
  <c r="E92" i="9"/>
  <c r="I68" i="9" a="1"/>
  <c r="I68" i="9" s="1"/>
  <c r="J68" i="9" a="1"/>
  <c r="J68" i="9" s="1"/>
  <c r="AQ36" i="2"/>
  <c r="DF5" i="2"/>
  <c r="DF4" i="2" s="1"/>
  <c r="BH5" i="2"/>
  <c r="BH4" i="2" s="1"/>
  <c r="AO36" i="2"/>
  <c r="DL5" i="2"/>
  <c r="DL4" i="2" s="1"/>
  <c r="S12" i="8"/>
  <c r="T12" i="8"/>
  <c r="Q12" i="8"/>
  <c r="P12" i="8"/>
  <c r="N12" i="8" a="1"/>
  <c r="N12" i="8" s="1"/>
  <c r="O12" i="8"/>
  <c r="R12" i="8"/>
  <c r="M12" i="8" a="1"/>
  <c r="M12" i="8" s="1"/>
  <c r="V12" i="8"/>
  <c r="U12" i="8"/>
  <c r="X12" i="8"/>
  <c r="W12" i="8"/>
  <c r="E89" i="9"/>
  <c r="E87" i="9"/>
  <c r="E88" i="9"/>
  <c r="E83" i="9"/>
  <c r="E84" i="9"/>
  <c r="E85" i="9"/>
  <c r="E96" i="9"/>
  <c r="E97" i="9"/>
  <c r="E95" i="9"/>
  <c r="I100" i="9" a="1"/>
  <c r="I100" i="9" s="1"/>
  <c r="J100" i="9" a="1"/>
  <c r="J100" i="9" s="1"/>
  <c r="EL5" i="2"/>
  <c r="EL4" i="2" s="1"/>
  <c r="FD5" i="2"/>
  <c r="FD4" i="2" s="1"/>
  <c r="AP36" i="2"/>
  <c r="K61" i="9"/>
  <c r="AM41" i="2" a="1"/>
  <c r="AG41" i="2" a="1"/>
  <c r="AK41" i="2" a="1"/>
  <c r="AJ41" i="2" a="1"/>
  <c r="AN41" i="2" a="1"/>
  <c r="AQ41" i="2" a="1"/>
  <c r="AH41" i="2" a="1"/>
  <c r="AP41" i="2" a="1"/>
  <c r="AL41" i="2" a="1"/>
  <c r="AF41" i="2" a="1"/>
  <c r="AO41" i="2" a="1"/>
  <c r="AI41" i="2" a="1"/>
  <c r="AO43" i="2" l="1"/>
  <c r="AJ7" i="2"/>
  <c r="AJ43" i="2"/>
  <c r="AM7" i="2"/>
  <c r="AH23" i="2"/>
  <c r="AR23" i="2"/>
  <c r="AQ23" i="2"/>
  <c r="AF23" i="2"/>
  <c r="AF7" i="2"/>
  <c r="AI7" i="2"/>
  <c r="AI43" i="2"/>
  <c r="AG23" i="2"/>
  <c r="AP23" i="2"/>
  <c r="AP43" i="2"/>
  <c r="AH43" i="2"/>
  <c r="AN43" i="2"/>
  <c r="AQ7" i="2"/>
  <c r="AM23" i="2"/>
  <c r="D14" i="8"/>
  <c r="I14" i="8" s="1" a="1"/>
  <c r="I14" i="8" s="1"/>
  <c r="K14" i="8" s="1" a="1"/>
  <c r="K14" i="8" s="1"/>
  <c r="J69" i="9" a="1"/>
  <c r="J69" i="9" s="1"/>
  <c r="M69" i="9" s="1"/>
  <c r="P67" i="9"/>
  <c r="K79" i="9"/>
  <c r="Q79" i="9" s="1"/>
  <c r="K80" i="9"/>
  <c r="O80" i="9" s="1"/>
  <c r="P79" i="9"/>
  <c r="P80" i="9"/>
  <c r="O67" i="9"/>
  <c r="P81" i="9"/>
  <c r="Q67" i="9"/>
  <c r="R67" i="9"/>
  <c r="M67" i="9"/>
  <c r="M81" i="9"/>
  <c r="AQ41" i="2"/>
  <c r="AQ5" i="2" s="1"/>
  <c r="AQ4" i="2" s="1"/>
  <c r="AH41" i="2"/>
  <c r="AH5" i="2" s="1"/>
  <c r="AH4" i="2" s="1"/>
  <c r="AJ41" i="2"/>
  <c r="AJ5" i="2" s="1"/>
  <c r="AJ4" i="2" s="1"/>
  <c r="AM41" i="2"/>
  <c r="AM5" i="2" s="1"/>
  <c r="AM4" i="2" s="1"/>
  <c r="AL41" i="2"/>
  <c r="AL5" i="2" s="1"/>
  <c r="AL4" i="2" s="1"/>
  <c r="AI41" i="2"/>
  <c r="AI5" i="2" s="1"/>
  <c r="AI4" i="2" s="1"/>
  <c r="AP41" i="2"/>
  <c r="AP5" i="2" s="1"/>
  <c r="AP4" i="2" s="1"/>
  <c r="AK41" i="2"/>
  <c r="AK5" i="2" s="1"/>
  <c r="AK4" i="2" s="1"/>
  <c r="AO41" i="2"/>
  <c r="AO5" i="2" s="1"/>
  <c r="AO4" i="2" s="1"/>
  <c r="AN41" i="2"/>
  <c r="AN5" i="2" s="1"/>
  <c r="AN4" i="2" s="1"/>
  <c r="AG41" i="2"/>
  <c r="AG5" i="2" s="1"/>
  <c r="AG4" i="2" s="1"/>
  <c r="AF41" i="2"/>
  <c r="AF5" i="2" s="1"/>
  <c r="AF4" i="2" s="1"/>
  <c r="M100" i="9"/>
  <c r="P100" i="9"/>
  <c r="BD23" i="2"/>
  <c r="BA23" i="2"/>
  <c r="BE43" i="2"/>
  <c r="AY7" i="2"/>
  <c r="AW7" i="2"/>
  <c r="BF23" i="2"/>
  <c r="BB23" i="2"/>
  <c r="AT43" i="2"/>
  <c r="BE23" i="2"/>
  <c r="BA7" i="2"/>
  <c r="AU7" i="2"/>
  <c r="AV23" i="2"/>
  <c r="AZ23" i="2"/>
  <c r="BD7" i="2"/>
  <c r="BA43" i="2"/>
  <c r="AY23" i="2"/>
  <c r="AV7" i="2"/>
  <c r="AT23" i="2"/>
  <c r="AV43" i="2"/>
  <c r="BH3" i="2"/>
  <c r="BB43" i="2"/>
  <c r="AU23" i="2"/>
  <c r="AW23" i="2"/>
  <c r="BF7" i="2"/>
  <c r="AY43" i="2"/>
  <c r="BC7" i="2"/>
  <c r="BF43" i="2"/>
  <c r="AX43" i="2"/>
  <c r="AX7" i="2"/>
  <c r="AU43" i="2"/>
  <c r="AX23" i="2"/>
  <c r="BB7" i="2"/>
  <c r="BC43" i="2"/>
  <c r="BC23" i="2"/>
  <c r="AZ7" i="2"/>
  <c r="AZ43" i="2"/>
  <c r="BE7" i="2"/>
  <c r="AW43" i="2"/>
  <c r="AT7" i="2"/>
  <c r="BD43" i="2"/>
  <c r="I65" i="9" a="1"/>
  <c r="I65" i="9" s="1"/>
  <c r="J65" i="9" a="1"/>
  <c r="J65" i="9" s="1"/>
  <c r="J87" i="9" a="1"/>
  <c r="J87" i="9" s="1"/>
  <c r="I87" i="9" a="1"/>
  <c r="I87" i="9" s="1"/>
  <c r="N81" i="9"/>
  <c r="R81" i="9"/>
  <c r="O81" i="9"/>
  <c r="Q81" i="9"/>
  <c r="J64" i="9" a="1"/>
  <c r="J64" i="9" s="1"/>
  <c r="I64" i="9" a="1"/>
  <c r="I64" i="9" s="1"/>
  <c r="F15" i="8"/>
  <c r="L15" i="8" a="1"/>
  <c r="L15" i="8" s="1"/>
  <c r="J55" i="9" a="1"/>
  <c r="J55" i="9" s="1"/>
  <c r="I55" i="9" a="1"/>
  <c r="I55" i="9" s="1"/>
  <c r="I97" i="9" a="1"/>
  <c r="I97" i="9" s="1"/>
  <c r="J97" i="9" a="1"/>
  <c r="J97" i="9" s="1"/>
  <c r="K100" i="9"/>
  <c r="J88" i="9" a="1"/>
  <c r="J88" i="9" s="1"/>
  <c r="I88" i="9" a="1"/>
  <c r="I88" i="9" s="1"/>
  <c r="N61" i="9"/>
  <c r="R61" i="9"/>
  <c r="O61" i="9"/>
  <c r="Q61" i="9"/>
  <c r="I95" i="9" a="1"/>
  <c r="I95" i="9" s="1"/>
  <c r="J95" i="9" a="1"/>
  <c r="J95" i="9" s="1"/>
  <c r="J89" i="9" a="1"/>
  <c r="J89" i="9" s="1"/>
  <c r="I89" i="9" a="1"/>
  <c r="I89" i="9" s="1"/>
  <c r="Y12" i="8"/>
  <c r="K68" i="9"/>
  <c r="J63" i="9" a="1"/>
  <c r="J63" i="9" s="1"/>
  <c r="I63" i="9" a="1"/>
  <c r="I63" i="9" s="1"/>
  <c r="K99" i="9"/>
  <c r="I56" i="9" a="1"/>
  <c r="I56" i="9" s="1"/>
  <c r="J56" i="9" a="1"/>
  <c r="J56" i="9" s="1"/>
  <c r="M68" i="9"/>
  <c r="P68" i="9"/>
  <c r="K59" i="9"/>
  <c r="M99" i="9"/>
  <c r="P99" i="9"/>
  <c r="I57" i="9" a="1"/>
  <c r="I57" i="9" s="1"/>
  <c r="J57" i="9" a="1"/>
  <c r="J57" i="9" s="1"/>
  <c r="P59" i="9"/>
  <c r="M59" i="9"/>
  <c r="I71" i="9" a="1"/>
  <c r="I71" i="9" s="1"/>
  <c r="J71" i="9" a="1"/>
  <c r="J71" i="9" s="1"/>
  <c r="I96" i="9" a="1"/>
  <c r="I96" i="9" s="1"/>
  <c r="J96" i="9" a="1"/>
  <c r="J96" i="9" s="1"/>
  <c r="J92" i="9" a="1"/>
  <c r="J92" i="9" s="1"/>
  <c r="I92" i="9" a="1"/>
  <c r="I92" i="9" s="1"/>
  <c r="J85" i="9" a="1"/>
  <c r="J85" i="9" s="1"/>
  <c r="I85" i="9" a="1"/>
  <c r="I85" i="9" s="1"/>
  <c r="I93" i="9" a="1"/>
  <c r="I93" i="9" s="1"/>
  <c r="J93" i="9" a="1"/>
  <c r="J93" i="9" s="1"/>
  <c r="M14" i="8" a="1"/>
  <c r="M14" i="8" s="1"/>
  <c r="K101" i="9"/>
  <c r="J73" i="9" a="1"/>
  <c r="J73" i="9" s="1"/>
  <c r="I73" i="9" a="1"/>
  <c r="I73" i="9" s="1"/>
  <c r="J91" i="9" a="1"/>
  <c r="J91" i="9" s="1"/>
  <c r="I91" i="9" a="1"/>
  <c r="I91" i="9" s="1"/>
  <c r="P101" i="9"/>
  <c r="M101" i="9"/>
  <c r="J72" i="9" a="1"/>
  <c r="J72" i="9" s="1"/>
  <c r="I72" i="9" a="1"/>
  <c r="I72" i="9" s="1"/>
  <c r="J77" i="9" a="1"/>
  <c r="J77" i="9" s="1"/>
  <c r="I77" i="9" a="1"/>
  <c r="I77" i="9" s="1"/>
  <c r="J84" i="9" a="1"/>
  <c r="J84" i="9" s="1"/>
  <c r="I84" i="9" a="1"/>
  <c r="I84" i="9" s="1"/>
  <c r="J83" i="9" a="1"/>
  <c r="J83" i="9" s="1"/>
  <c r="K83" i="9" s="1"/>
  <c r="I83" i="9" a="1"/>
  <c r="I83" i="9" s="1"/>
  <c r="AR36" i="2"/>
  <c r="C17" i="8" a="1"/>
  <c r="C17" i="8" s="1"/>
  <c r="G16" i="8" a="1"/>
  <c r="G16" i="8" s="1"/>
  <c r="H16" i="8"/>
  <c r="E16" i="8" a="1"/>
  <c r="E16" i="8" s="1"/>
  <c r="J16" i="8" a="1"/>
  <c r="J16" i="8" s="1"/>
  <c r="K60" i="9"/>
  <c r="J76" i="9" a="1"/>
  <c r="J76" i="9" s="1"/>
  <c r="I76" i="9" a="1"/>
  <c r="I76" i="9" s="1"/>
  <c r="M60" i="9"/>
  <c r="P60" i="9"/>
  <c r="I75" i="9" a="1"/>
  <c r="I75" i="9" s="1"/>
  <c r="J75" i="9" a="1"/>
  <c r="J75" i="9" s="1"/>
  <c r="M13" i="8" a="1"/>
  <c r="M13" i="8" s="1"/>
  <c r="AR41" i="2" a="1"/>
  <c r="K69" i="9" l="1"/>
  <c r="O69" i="9" s="1"/>
  <c r="D15" i="8"/>
  <c r="I15" i="8" s="1" a="1"/>
  <c r="I15" i="8" s="1"/>
  <c r="K15" i="8" s="1" a="1"/>
  <c r="K15" i="8" s="1"/>
  <c r="P69" i="9"/>
  <c r="K92" i="9"/>
  <c r="Q92" i="9" s="1"/>
  <c r="R80" i="9"/>
  <c r="N80" i="9"/>
  <c r="O79" i="9"/>
  <c r="R79" i="9"/>
  <c r="N79" i="9"/>
  <c r="Q80" i="9"/>
  <c r="K57" i="9"/>
  <c r="N57" i="9" s="1"/>
  <c r="K76" i="9"/>
  <c r="N76" i="9" s="1"/>
  <c r="AR41" i="2"/>
  <c r="AR5" i="2" s="1"/>
  <c r="AR4" i="2" s="1"/>
  <c r="M75" i="9"/>
  <c r="P75" i="9"/>
  <c r="K73" i="9"/>
  <c r="C18" i="8" a="1"/>
  <c r="C18" i="8" s="1"/>
  <c r="J17" i="8" a="1"/>
  <c r="J17" i="8" s="1"/>
  <c r="G17" i="8" a="1"/>
  <c r="G17" i="8" s="1"/>
  <c r="E17" i="8" a="1"/>
  <c r="E17" i="8" s="1"/>
  <c r="H17" i="8"/>
  <c r="P83" i="9"/>
  <c r="M83" i="9"/>
  <c r="V14" i="8"/>
  <c r="M92" i="9"/>
  <c r="P92" i="9"/>
  <c r="P72" i="9"/>
  <c r="M72" i="9"/>
  <c r="Q101" i="9"/>
  <c r="O101" i="9"/>
  <c r="R101" i="9"/>
  <c r="N101" i="9"/>
  <c r="V13" i="8"/>
  <c r="O60" i="9"/>
  <c r="N60" i="9"/>
  <c r="Q60" i="9"/>
  <c r="R60" i="9"/>
  <c r="Q83" i="9"/>
  <c r="N83" i="9"/>
  <c r="R83" i="9"/>
  <c r="O83" i="9"/>
  <c r="K56" i="9"/>
  <c r="M89" i="9"/>
  <c r="P89" i="9"/>
  <c r="P88" i="9"/>
  <c r="M88" i="9"/>
  <c r="M91" i="9"/>
  <c r="P91" i="9"/>
  <c r="K96" i="9"/>
  <c r="M56" i="9"/>
  <c r="P56" i="9"/>
  <c r="P63" i="9"/>
  <c r="M63" i="9"/>
  <c r="K89" i="9"/>
  <c r="K88" i="9"/>
  <c r="M15" i="8" a="1"/>
  <c r="M15" i="8" s="1"/>
  <c r="P84" i="9"/>
  <c r="M84" i="9"/>
  <c r="K75" i="9"/>
  <c r="D16" i="8"/>
  <c r="I16" i="8" s="1" a="1"/>
  <c r="I16" i="8" s="1"/>
  <c r="K16" i="8" s="1" a="1"/>
  <c r="K16" i="8" s="1"/>
  <c r="F16" i="8"/>
  <c r="L16" i="8" a="1"/>
  <c r="L16" i="8" s="1"/>
  <c r="K84" i="9"/>
  <c r="K91" i="9"/>
  <c r="M96" i="9"/>
  <c r="P96" i="9"/>
  <c r="M57" i="9"/>
  <c r="P57" i="9"/>
  <c r="R99" i="9"/>
  <c r="Q99" i="9"/>
  <c r="N99" i="9"/>
  <c r="O99" i="9"/>
  <c r="K63" i="9"/>
  <c r="K95" i="9"/>
  <c r="N100" i="9"/>
  <c r="R100" i="9"/>
  <c r="Q100" i="9"/>
  <c r="O100" i="9"/>
  <c r="M73" i="9"/>
  <c r="P73" i="9"/>
  <c r="K93" i="9"/>
  <c r="O68" i="9"/>
  <c r="Q68" i="9"/>
  <c r="R68" i="9"/>
  <c r="N68" i="9"/>
  <c r="P95" i="9"/>
  <c r="M95" i="9"/>
  <c r="K97" i="9"/>
  <c r="M64" i="9"/>
  <c r="P64" i="9"/>
  <c r="K65" i="9"/>
  <c r="K77" i="9"/>
  <c r="P93" i="9"/>
  <c r="M93" i="9"/>
  <c r="K71" i="9"/>
  <c r="P97" i="9"/>
  <c r="M97" i="9"/>
  <c r="K64" i="9"/>
  <c r="M65" i="9"/>
  <c r="P65" i="9"/>
  <c r="M85" i="9"/>
  <c r="P85" i="9"/>
  <c r="M55" i="9"/>
  <c r="P55" i="9"/>
  <c r="M87" i="9"/>
  <c r="P87" i="9"/>
  <c r="BJ43" i="2"/>
  <c r="BM43" i="2"/>
  <c r="BN23" i="2"/>
  <c r="BK7" i="2"/>
  <c r="BL43" i="2"/>
  <c r="BI43" i="2"/>
  <c r="BI23" i="2"/>
  <c r="BS7" i="2"/>
  <c r="BJ7" i="2"/>
  <c r="BS23" i="2"/>
  <c r="BQ23" i="2"/>
  <c r="BI7" i="2"/>
  <c r="BT7" i="2"/>
  <c r="BQ43" i="2"/>
  <c r="BL23" i="2"/>
  <c r="BH7" i="2"/>
  <c r="BT23" i="2"/>
  <c r="BR23" i="2"/>
  <c r="BO43" i="2"/>
  <c r="BP7" i="2"/>
  <c r="BM23" i="2"/>
  <c r="BH23" i="2"/>
  <c r="BQ7" i="2"/>
  <c r="BK43" i="2"/>
  <c r="BN43" i="2"/>
  <c r="BM7" i="2"/>
  <c r="BR43" i="2"/>
  <c r="BO23" i="2"/>
  <c r="BN7" i="2"/>
  <c r="BJ23" i="2"/>
  <c r="BP43" i="2"/>
  <c r="BR7" i="2"/>
  <c r="BH43" i="2"/>
  <c r="BL7" i="2"/>
  <c r="BS43" i="2"/>
  <c r="BO7" i="2"/>
  <c r="BT43" i="2"/>
  <c r="BV3" i="2"/>
  <c r="BP23" i="2"/>
  <c r="BK23" i="2"/>
  <c r="M77" i="9"/>
  <c r="P77" i="9"/>
  <c r="M71" i="9"/>
  <c r="P71" i="9"/>
  <c r="Q59" i="9"/>
  <c r="N59" i="9"/>
  <c r="O59" i="9"/>
  <c r="R59" i="9"/>
  <c r="M76" i="9"/>
  <c r="P76" i="9"/>
  <c r="K72" i="9"/>
  <c r="K85" i="9"/>
  <c r="K55" i="9"/>
  <c r="K87" i="9"/>
  <c r="N69" i="9" l="1"/>
  <c r="R69" i="9"/>
  <c r="Q69" i="9"/>
  <c r="R92" i="9"/>
  <c r="O92" i="9"/>
  <c r="N92" i="9"/>
  <c r="O57" i="9"/>
  <c r="R57" i="9"/>
  <c r="Q57" i="9"/>
  <c r="R76" i="9"/>
  <c r="O76" i="9"/>
  <c r="Q76" i="9"/>
  <c r="R95" i="9"/>
  <c r="N95" i="9"/>
  <c r="Q95" i="9"/>
  <c r="O95" i="9"/>
  <c r="N96" i="9"/>
  <c r="Q96" i="9"/>
  <c r="O96" i="9"/>
  <c r="R96" i="9"/>
  <c r="R64" i="9"/>
  <c r="N64" i="9"/>
  <c r="Q64" i="9"/>
  <c r="O64" i="9"/>
  <c r="Q91" i="9"/>
  <c r="R91" i="9"/>
  <c r="O91" i="9"/>
  <c r="N91" i="9"/>
  <c r="J18" i="8" a="1"/>
  <c r="J18" i="8" s="1"/>
  <c r="E18" i="8" a="1"/>
  <c r="E18" i="8" s="1"/>
  <c r="C19" i="8" a="1"/>
  <c r="C19" i="8" s="1"/>
  <c r="H18" i="8"/>
  <c r="G18" i="8" a="1"/>
  <c r="G18" i="8" s="1"/>
  <c r="O97" i="9"/>
  <c r="Q97" i="9"/>
  <c r="R97" i="9"/>
  <c r="N97" i="9"/>
  <c r="R77" i="9"/>
  <c r="N77" i="9"/>
  <c r="O77" i="9"/>
  <c r="Q77" i="9"/>
  <c r="N87" i="9"/>
  <c r="Q87" i="9"/>
  <c r="O87" i="9"/>
  <c r="R87" i="9"/>
  <c r="Q93" i="9"/>
  <c r="N93" i="9"/>
  <c r="O93" i="9"/>
  <c r="R93" i="9"/>
  <c r="N84" i="9"/>
  <c r="O84" i="9"/>
  <c r="R84" i="9"/>
  <c r="Q84" i="9"/>
  <c r="R73" i="9"/>
  <c r="N73" i="9"/>
  <c r="O73" i="9"/>
  <c r="Q73" i="9"/>
  <c r="N85" i="9"/>
  <c r="Q85" i="9"/>
  <c r="O85" i="9"/>
  <c r="R85" i="9"/>
  <c r="M16" i="8" a="1"/>
  <c r="M16" i="8" s="1"/>
  <c r="V15" i="8"/>
  <c r="R71" i="9"/>
  <c r="Q71" i="9"/>
  <c r="N71" i="9"/>
  <c r="O71" i="9"/>
  <c r="R72" i="9"/>
  <c r="O72" i="9"/>
  <c r="Q72" i="9"/>
  <c r="N72" i="9"/>
  <c r="O88" i="9"/>
  <c r="R88" i="9"/>
  <c r="Q88" i="9"/>
  <c r="N88" i="9"/>
  <c r="F17" i="8"/>
  <c r="D17" i="8"/>
  <c r="I17" i="8" s="1" a="1"/>
  <c r="I17" i="8" s="1"/>
  <c r="K17" i="8" s="1" a="1"/>
  <c r="K17" i="8" s="1"/>
  <c r="L17" i="8" a="1"/>
  <c r="L17" i="8" s="1"/>
  <c r="N55" i="9"/>
  <c r="Q55" i="9"/>
  <c r="R55" i="9"/>
  <c r="O55" i="9"/>
  <c r="CH43" i="2"/>
  <c r="BZ43" i="2"/>
  <c r="CF43" i="2"/>
  <c r="BV43" i="2"/>
  <c r="CC23" i="2"/>
  <c r="CG43" i="2"/>
  <c r="CE43" i="2"/>
  <c r="BY7" i="2"/>
  <c r="BX7" i="2"/>
  <c r="CH7" i="2"/>
  <c r="CA23" i="2"/>
  <c r="BY23" i="2"/>
  <c r="CE7" i="2"/>
  <c r="CC43" i="2"/>
  <c r="CB43" i="2"/>
  <c r="CF23" i="2"/>
  <c r="CA7" i="2"/>
  <c r="CD23" i="2"/>
  <c r="BY43" i="2"/>
  <c r="BX23" i="2"/>
  <c r="CC7" i="2"/>
  <c r="CE23" i="2"/>
  <c r="CD7" i="2"/>
  <c r="CD43" i="2"/>
  <c r="CF7" i="2"/>
  <c r="BZ23" i="2"/>
  <c r="BZ7" i="2"/>
  <c r="CH23" i="2"/>
  <c r="BX43" i="2"/>
  <c r="BW7" i="2"/>
  <c r="BW43" i="2"/>
  <c r="BV7" i="2"/>
  <c r="CB7" i="2"/>
  <c r="BV23" i="2"/>
  <c r="CA43" i="2"/>
  <c r="CB23" i="2"/>
  <c r="BW23" i="2"/>
  <c r="CG23" i="2"/>
  <c r="CJ3" i="2"/>
  <c r="CG7" i="2"/>
  <c r="O75" i="9"/>
  <c r="R75" i="9"/>
  <c r="Q75" i="9"/>
  <c r="N75" i="9"/>
  <c r="N89" i="9"/>
  <c r="O89" i="9"/>
  <c r="Q89" i="9"/>
  <c r="R89" i="9"/>
  <c r="O56" i="9"/>
  <c r="Q56" i="9"/>
  <c r="N56" i="9"/>
  <c r="R56" i="9"/>
  <c r="R65" i="9"/>
  <c r="Q65" i="9"/>
  <c r="O65" i="9"/>
  <c r="N65" i="9"/>
  <c r="O63" i="9"/>
  <c r="N63" i="9"/>
  <c r="Q63" i="9"/>
  <c r="R63" i="9"/>
  <c r="M17" i="8" l="1" a="1"/>
  <c r="M17" i="8" s="1"/>
  <c r="V17" i="8" s="1"/>
  <c r="V16" i="8"/>
  <c r="H19" i="8"/>
  <c r="C20" i="8" a="1"/>
  <c r="C20" i="8" s="1"/>
  <c r="N17" i="8" s="1" a="1"/>
  <c r="N17" i="8" s="1"/>
  <c r="O17" i="8" s="1"/>
  <c r="G19" i="8" a="1"/>
  <c r="G19" i="8" s="1"/>
  <c r="J19" i="8" a="1"/>
  <c r="J19" i="8" s="1"/>
  <c r="E19" i="8" a="1"/>
  <c r="E19" i="8" s="1"/>
  <c r="CT43" i="2"/>
  <c r="CS23" i="2"/>
  <c r="CL43" i="2"/>
  <c r="CQ43" i="2"/>
  <c r="CP23" i="2"/>
  <c r="CJ7" i="2"/>
  <c r="CM23" i="2"/>
  <c r="CJ23" i="2"/>
  <c r="CN43" i="2"/>
  <c r="CN7" i="2"/>
  <c r="CS7" i="2"/>
  <c r="CS43" i="2"/>
  <c r="CU43" i="2"/>
  <c r="CO23" i="2"/>
  <c r="CL7" i="2"/>
  <c r="CQ7" i="2"/>
  <c r="CK23" i="2"/>
  <c r="CN23" i="2"/>
  <c r="CO7" i="2"/>
  <c r="CV7" i="2"/>
  <c r="CR23" i="2"/>
  <c r="CT7" i="2"/>
  <c r="CV23" i="2"/>
  <c r="CT23" i="2"/>
  <c r="CR7" i="2"/>
  <c r="CU23" i="2"/>
  <c r="CQ23" i="2"/>
  <c r="CX3" i="2"/>
  <c r="CR43" i="2"/>
  <c r="CJ43" i="2"/>
  <c r="CP43" i="2"/>
  <c r="CO43" i="2"/>
  <c r="CK7" i="2"/>
  <c r="CL23" i="2"/>
  <c r="CU7" i="2"/>
  <c r="CM43" i="2"/>
  <c r="CM7" i="2"/>
  <c r="CP7" i="2"/>
  <c r="CK43" i="2"/>
  <c r="CV43" i="2"/>
  <c r="D18" i="8"/>
  <c r="I18" i="8" s="1" a="1"/>
  <c r="I18" i="8" s="1"/>
  <c r="K18" i="8" s="1" a="1"/>
  <c r="K18" i="8" s="1"/>
  <c r="L18" i="8" a="1"/>
  <c r="L18" i="8" s="1"/>
  <c r="F18" i="8"/>
  <c r="N13" i="8" l="1" a="1"/>
  <c r="N13" i="8" s="1"/>
  <c r="O13" i="8" s="1"/>
  <c r="N15" i="8" a="1"/>
  <c r="N15" i="8" s="1"/>
  <c r="O15" i="8" s="1"/>
  <c r="DD23" i="2"/>
  <c r="DA23" i="2"/>
  <c r="CY23" i="2"/>
  <c r="DJ23" i="2"/>
  <c r="CZ43" i="2"/>
  <c r="DG23" i="2"/>
  <c r="DJ7" i="2"/>
  <c r="DI23" i="2"/>
  <c r="DE43" i="2"/>
  <c r="DE7" i="2"/>
  <c r="DJ43" i="2"/>
  <c r="DG43" i="2"/>
  <c r="DF23" i="2"/>
  <c r="DH7" i="2"/>
  <c r="DC43" i="2"/>
  <c r="CY43" i="2"/>
  <c r="CX23" i="2"/>
  <c r="DF43" i="2"/>
  <c r="DB7" i="2"/>
  <c r="DI43" i="2"/>
  <c r="DE23" i="2"/>
  <c r="DF7" i="2"/>
  <c r="DA43" i="2"/>
  <c r="DD43" i="2"/>
  <c r="DL3" i="2"/>
  <c r="DB23" i="2"/>
  <c r="DC23" i="2"/>
  <c r="CX7" i="2"/>
  <c r="DD7" i="2"/>
  <c r="DH23" i="2"/>
  <c r="DG7" i="2"/>
  <c r="CY7" i="2"/>
  <c r="CZ23" i="2"/>
  <c r="DA7" i="2"/>
  <c r="CZ7" i="2"/>
  <c r="DH43" i="2"/>
  <c r="DI7" i="2"/>
  <c r="CX43" i="2"/>
  <c r="DB43" i="2"/>
  <c r="DC7" i="2"/>
  <c r="T17" i="8"/>
  <c r="C21" i="8" a="1"/>
  <c r="C21" i="8" s="1"/>
  <c r="J20" i="8" a="1"/>
  <c r="J20" i="8" s="1"/>
  <c r="H20" i="8"/>
  <c r="G20" i="8" a="1"/>
  <c r="G20" i="8" s="1"/>
  <c r="E20" i="8" a="1"/>
  <c r="E20" i="8" s="1"/>
  <c r="N16" i="8" a="1"/>
  <c r="N16" i="8" s="1"/>
  <c r="N14" i="8" a="1"/>
  <c r="N14" i="8" s="1"/>
  <c r="N18" i="8" a="1"/>
  <c r="N18" i="8" s="1"/>
  <c r="M18" i="8" a="1"/>
  <c r="M18" i="8" s="1"/>
  <c r="T18" i="8" s="1"/>
  <c r="Q17" i="8"/>
  <c r="Q13" i="8"/>
  <c r="F19" i="8"/>
  <c r="D19" i="8"/>
  <c r="I19" i="8" s="1" a="1"/>
  <c r="I19" i="8" s="1"/>
  <c r="K19" i="8" s="1" a="1"/>
  <c r="K19" i="8" s="1"/>
  <c r="L19" i="8" a="1"/>
  <c r="L19" i="8" s="1"/>
  <c r="T13" i="8" l="1"/>
  <c r="T15" i="8"/>
  <c r="Q15" i="8"/>
  <c r="Q18" i="8"/>
  <c r="O18" i="8"/>
  <c r="V18" i="8"/>
  <c r="T14" i="8"/>
  <c r="Q14" i="8"/>
  <c r="O14" i="8"/>
  <c r="O16" i="8"/>
  <c r="T16" i="8"/>
  <c r="Q16" i="8"/>
  <c r="D20" i="8"/>
  <c r="I20" i="8" s="1" a="1"/>
  <c r="I20" i="8" s="1"/>
  <c r="K20" i="8" s="1" a="1"/>
  <c r="K20" i="8" s="1"/>
  <c r="F20" i="8"/>
  <c r="L20" i="8" a="1"/>
  <c r="L20" i="8" s="1"/>
  <c r="N19" i="8" a="1"/>
  <c r="N19" i="8" s="1"/>
  <c r="M19" i="8" a="1"/>
  <c r="M19" i="8" s="1"/>
  <c r="T19" i="8" s="1"/>
  <c r="G21" i="8" a="1"/>
  <c r="G21" i="8" s="1"/>
  <c r="J21" i="8" a="1"/>
  <c r="J21" i="8" s="1"/>
  <c r="C22" i="8" a="1"/>
  <c r="C22" i="8" s="1"/>
  <c r="E21" i="8" a="1"/>
  <c r="E21" i="8" s="1"/>
  <c r="H21" i="8"/>
  <c r="DS23" i="2"/>
  <c r="DT23" i="2"/>
  <c r="DN23" i="2"/>
  <c r="DQ7" i="2"/>
  <c r="DL7" i="2"/>
  <c r="DX7" i="2"/>
  <c r="DT43" i="2"/>
  <c r="DM43" i="2"/>
  <c r="DW43" i="2"/>
  <c r="DZ3" i="2"/>
  <c r="DW7" i="2"/>
  <c r="DM23" i="2"/>
  <c r="DQ23" i="2"/>
  <c r="DM7" i="2"/>
  <c r="DX23" i="2"/>
  <c r="DL23" i="2"/>
  <c r="DO43" i="2"/>
  <c r="DV7" i="2"/>
  <c r="DX43" i="2"/>
  <c r="DR43" i="2"/>
  <c r="DP23" i="2"/>
  <c r="DN7" i="2"/>
  <c r="DL43" i="2"/>
  <c r="DU43" i="2"/>
  <c r="DW23" i="2"/>
  <c r="DU7" i="2"/>
  <c r="DU23" i="2"/>
  <c r="DP43" i="2"/>
  <c r="DO23" i="2"/>
  <c r="DO7" i="2"/>
  <c r="DT7" i="2"/>
  <c r="DS7" i="2"/>
  <c r="DS43" i="2"/>
  <c r="DP7" i="2"/>
  <c r="DR23" i="2"/>
  <c r="DV23" i="2"/>
  <c r="DN43" i="2"/>
  <c r="DQ43" i="2"/>
  <c r="DV43" i="2"/>
  <c r="DR7" i="2"/>
  <c r="R16" i="8"/>
  <c r="R17" i="8"/>
  <c r="R13" i="8"/>
  <c r="R14" i="8"/>
  <c r="R15" i="8"/>
  <c r="P18" i="8"/>
  <c r="R18" i="8"/>
  <c r="P17" i="8"/>
  <c r="P14" i="8"/>
  <c r="P15" i="8"/>
  <c r="P13" i="8"/>
  <c r="P16" i="8"/>
  <c r="Q19" i="8" l="1"/>
  <c r="V19" i="8"/>
  <c r="O19" i="8"/>
  <c r="S16" i="8"/>
  <c r="S14" i="8"/>
  <c r="S15" i="8"/>
  <c r="S13" i="8"/>
  <c r="S17" i="8"/>
  <c r="S18" i="8"/>
  <c r="F21" i="8"/>
  <c r="D21" i="8"/>
  <c r="I21" i="8" s="1" a="1"/>
  <c r="I21" i="8" s="1"/>
  <c r="K21" i="8" s="1" a="1"/>
  <c r="K21" i="8" s="1"/>
  <c r="L21" i="8" a="1"/>
  <c r="L21" i="8" s="1"/>
  <c r="M20" i="8" a="1"/>
  <c r="M20" i="8" s="1"/>
  <c r="V20" i="8" s="1"/>
  <c r="N20" i="8" a="1"/>
  <c r="N20" i="8" s="1"/>
  <c r="G22" i="8" a="1"/>
  <c r="G22" i="8" s="1"/>
  <c r="H22" i="8"/>
  <c r="C23" i="8" a="1"/>
  <c r="C23" i="8" s="1"/>
  <c r="E22" i="8" a="1"/>
  <c r="E22" i="8" s="1"/>
  <c r="J22" i="8" a="1"/>
  <c r="J22" i="8" s="1"/>
  <c r="EL43" i="2"/>
  <c r="EA43" i="2"/>
  <c r="EE23" i="2"/>
  <c r="EF23" i="2"/>
  <c r="ED7" i="2"/>
  <c r="EJ23" i="2"/>
  <c r="EG43" i="2"/>
  <c r="ED43" i="2"/>
  <c r="EL7" i="2"/>
  <c r="EB23" i="2"/>
  <c r="EF43" i="2"/>
  <c r="DZ7" i="2"/>
  <c r="EK43" i="2"/>
  <c r="EH43" i="2"/>
  <c r="EC23" i="2"/>
  <c r="EN3" i="2"/>
  <c r="EK7" i="2"/>
  <c r="EC43" i="2"/>
  <c r="DZ43" i="2"/>
  <c r="EE43" i="2"/>
  <c r="EC7" i="2"/>
  <c r="EF7" i="2"/>
  <c r="EB43" i="2"/>
  <c r="EH23" i="2"/>
  <c r="EH7" i="2"/>
  <c r="EI43" i="2"/>
  <c r="DZ23" i="2"/>
  <c r="EE7" i="2"/>
  <c r="EJ43" i="2"/>
  <c r="EK23" i="2"/>
  <c r="EA23" i="2"/>
  <c r="EA7" i="2"/>
  <c r="EG23" i="2"/>
  <c r="EB7" i="2"/>
  <c r="EL23" i="2"/>
  <c r="EI7" i="2"/>
  <c r="ED23" i="2"/>
  <c r="EJ7" i="2"/>
  <c r="EI23" i="2"/>
  <c r="EG7" i="2"/>
  <c r="R19" i="8"/>
  <c r="P19" i="8"/>
  <c r="S19" i="8" l="1"/>
  <c r="Q20" i="8"/>
  <c r="T20" i="8"/>
  <c r="O20" i="8"/>
  <c r="AD22" i="8"/>
  <c r="Y22" i="8"/>
  <c r="AA22" i="8"/>
  <c r="AB22" i="8"/>
  <c r="Z22" i="8"/>
  <c r="AC22" i="8"/>
  <c r="EZ7" i="2"/>
  <c r="ET43" i="2"/>
  <c r="EQ43" i="2"/>
  <c r="EX23" i="2"/>
  <c r="EY7" i="2"/>
  <c r="ES43" i="2"/>
  <c r="EX43" i="2"/>
  <c r="EU43" i="2"/>
  <c r="FB3" i="2"/>
  <c r="EN7" i="2"/>
  <c r="ET23" i="2"/>
  <c r="EP43" i="2"/>
  <c r="EN23" i="2"/>
  <c r="EO7" i="2"/>
  <c r="EP7" i="2"/>
  <c r="EZ23" i="2"/>
  <c r="EV23" i="2"/>
  <c r="EW43" i="2"/>
  <c r="EW23" i="2"/>
  <c r="EV7" i="2"/>
  <c r="EQ7" i="2"/>
  <c r="EZ43" i="2"/>
  <c r="EY43" i="2"/>
  <c r="EO43" i="2"/>
  <c r="EO23" i="2"/>
  <c r="ES7" i="2"/>
  <c r="EU23" i="2"/>
  <c r="EN43" i="2"/>
  <c r="EX7" i="2"/>
  <c r="ER43" i="2"/>
  <c r="ER7" i="2"/>
  <c r="ER23" i="2"/>
  <c r="ET7" i="2"/>
  <c r="EY23" i="2"/>
  <c r="EU7" i="2"/>
  <c r="EP23" i="2"/>
  <c r="EV43" i="2"/>
  <c r="EW7" i="2"/>
  <c r="ES23" i="2"/>
  <c r="EQ23" i="2"/>
  <c r="K22" i="8" a="1"/>
  <c r="K22" i="8" s="1"/>
  <c r="L22" i="8" a="1"/>
  <c r="L22" i="8" s="1"/>
  <c r="F22" i="8"/>
  <c r="D22" i="8"/>
  <c r="I22" i="8" s="1" a="1"/>
  <c r="I22" i="8" s="1"/>
  <c r="J23" i="8" a="1"/>
  <c r="J23" i="8" s="1"/>
  <c r="H23" i="8"/>
  <c r="G23" i="8" a="1"/>
  <c r="G23" i="8" s="1"/>
  <c r="C24" i="8" a="1"/>
  <c r="C24" i="8" s="1"/>
  <c r="E23" i="8" a="1"/>
  <c r="E23" i="8" s="1"/>
  <c r="V21" i="8"/>
  <c r="M21" i="8" a="1"/>
  <c r="M21" i="8" s="1"/>
  <c r="U21" i="8"/>
  <c r="P21" i="8"/>
  <c r="X21" i="8"/>
  <c r="O21" i="8"/>
  <c r="T21" i="8"/>
  <c r="R21" i="8"/>
  <c r="S21" i="8"/>
  <c r="N21" i="8" a="1"/>
  <c r="N21" i="8" s="1"/>
  <c r="Q21" i="8"/>
  <c r="W21" i="8"/>
  <c r="P20" i="8"/>
  <c r="R20" i="8"/>
  <c r="S20" i="8" l="1"/>
  <c r="D23" i="8"/>
  <c r="I23" i="8" s="1" a="1"/>
  <c r="I23" i="8" s="1"/>
  <c r="K23" i="8" a="1"/>
  <c r="K23" i="8" s="1"/>
  <c r="F23" i="8"/>
  <c r="L23" i="8" a="1"/>
  <c r="L23" i="8" s="1"/>
  <c r="FN23" i="2"/>
  <c r="FI43" i="2"/>
  <c r="FG43" i="2"/>
  <c r="FE23" i="2"/>
  <c r="FB7" i="2"/>
  <c r="FK43" i="2"/>
  <c r="FB23" i="2"/>
  <c r="FL43" i="2"/>
  <c r="FH7" i="2"/>
  <c r="FJ7" i="2"/>
  <c r="FC43" i="2"/>
  <c r="FH43" i="2"/>
  <c r="FF43" i="2"/>
  <c r="FL7" i="2"/>
  <c r="FC7" i="2"/>
  <c r="FJ43" i="2"/>
  <c r="FM23" i="2"/>
  <c r="FE43" i="2"/>
  <c r="FI7" i="2"/>
  <c r="FN7" i="2"/>
  <c r="FB43" i="2"/>
  <c r="FC23" i="2"/>
  <c r="FF23" i="2"/>
  <c r="FM7" i="2"/>
  <c r="FJ23" i="2"/>
  <c r="FP3" i="2"/>
  <c r="FI23" i="2"/>
  <c r="FE7" i="2"/>
  <c r="FH23" i="2"/>
  <c r="FG7" i="2"/>
  <c r="FG23" i="2"/>
  <c r="FK7" i="2"/>
  <c r="FL23" i="2"/>
  <c r="FK23" i="2"/>
  <c r="FD23" i="2"/>
  <c r="FD7" i="2"/>
  <c r="FN43" i="2"/>
  <c r="FD43" i="2"/>
  <c r="FM43" i="2"/>
  <c r="FF7" i="2"/>
  <c r="H24" i="8"/>
  <c r="G24" i="8" a="1"/>
  <c r="G24" i="8" s="1"/>
  <c r="E24" i="8" a="1"/>
  <c r="E24" i="8" s="1"/>
  <c r="J24" i="8" a="1"/>
  <c r="J24" i="8" s="1"/>
  <c r="C25" i="8" a="1"/>
  <c r="C25" i="8" s="1"/>
  <c r="Z23" i="8"/>
  <c r="AD23" i="8"/>
  <c r="AA23" i="8"/>
  <c r="AB23" i="8"/>
  <c r="AC23" i="8"/>
  <c r="V22" i="8"/>
  <c r="Q22" i="8"/>
  <c r="N22" i="8" a="1"/>
  <c r="N22" i="8" s="1"/>
  <c r="X22" i="8"/>
  <c r="M22" i="8" a="1"/>
  <c r="M22" i="8" s="1"/>
  <c r="S22" i="8"/>
  <c r="O22" i="8"/>
  <c r="P22" i="8"/>
  <c r="T22" i="8"/>
  <c r="W22" i="8"/>
  <c r="R22" i="8"/>
  <c r="U22" i="8"/>
  <c r="U20" i="8"/>
  <c r="U14" i="8"/>
  <c r="U17" i="8"/>
  <c r="U15" i="8"/>
  <c r="U13" i="8"/>
  <c r="U16" i="8"/>
  <c r="U18" i="8"/>
  <c r="U19" i="8"/>
  <c r="J25" i="8" l="1" a="1"/>
  <c r="J25" i="8" s="1"/>
  <c r="H25" i="8"/>
  <c r="E25" i="8" a="1"/>
  <c r="E25" i="8" s="1"/>
  <c r="C26" i="8" a="1"/>
  <c r="C26" i="8" s="1"/>
  <c r="G25" i="8" a="1"/>
  <c r="G25" i="8" s="1"/>
  <c r="GB43" i="2"/>
  <c r="FS43" i="2"/>
  <c r="FZ23" i="2"/>
  <c r="FP23" i="2"/>
  <c r="FR7" i="2"/>
  <c r="FT7" i="2"/>
  <c r="FU7" i="2"/>
  <c r="FZ43" i="2"/>
  <c r="FX43" i="2"/>
  <c r="FV43" i="2"/>
  <c r="FP7" i="2"/>
  <c r="FR43" i="2"/>
  <c r="FP43" i="2"/>
  <c r="FW23" i="2"/>
  <c r="FW7" i="2"/>
  <c r="FV7" i="2"/>
  <c r="GB7" i="2"/>
  <c r="FU23" i="2"/>
  <c r="FY43" i="2"/>
  <c r="FW43" i="2"/>
  <c r="GB23" i="2"/>
  <c r="GA43" i="2"/>
  <c r="FQ43" i="2"/>
  <c r="FX23" i="2"/>
  <c r="FQ7" i="2"/>
  <c r="FX7" i="2"/>
  <c r="FY7" i="2"/>
  <c r="FT23" i="2"/>
  <c r="FS7" i="2"/>
  <c r="GA23" i="2"/>
  <c r="FR23" i="2"/>
  <c r="GA7" i="2"/>
  <c r="FY23" i="2"/>
  <c r="FV23" i="2"/>
  <c r="FT43" i="2"/>
  <c r="FU43" i="2"/>
  <c r="FS23" i="2"/>
  <c r="FQ23" i="2"/>
  <c r="FZ7" i="2"/>
  <c r="F24" i="8"/>
  <c r="L24" i="8" a="1"/>
  <c r="L24" i="8" s="1"/>
  <c r="D24" i="8"/>
  <c r="I24" i="8" s="1" a="1"/>
  <c r="I24" i="8" s="1"/>
  <c r="K24" i="8" s="1" a="1"/>
  <c r="K24" i="8" s="1"/>
  <c r="M23" i="8" a="1"/>
  <c r="M23" i="8" s="1"/>
  <c r="V23" i="8"/>
  <c r="R23" i="8"/>
  <c r="N23" i="8" a="1"/>
  <c r="N23" i="8" s="1"/>
  <c r="T23" i="8"/>
  <c r="P23" i="8"/>
  <c r="W23" i="8"/>
  <c r="Q23" i="8"/>
  <c r="U23" i="8"/>
  <c r="O23" i="8"/>
  <c r="S23" i="8"/>
  <c r="X23" i="8"/>
  <c r="W13" i="8"/>
  <c r="W17" i="8"/>
  <c r="W19" i="8"/>
  <c r="W15" i="8"/>
  <c r="W16" i="8"/>
  <c r="W20" i="8"/>
  <c r="W14" i="8"/>
  <c r="W18" i="8"/>
  <c r="X17" i="8" l="1"/>
  <c r="X18" i="8"/>
  <c r="X19" i="8"/>
  <c r="X15" i="8"/>
  <c r="X16" i="8"/>
  <c r="X14" i="8"/>
  <c r="X13" i="8"/>
  <c r="X20" i="8"/>
  <c r="M24" i="8" a="1"/>
  <c r="M24" i="8" s="1"/>
  <c r="V24" i="8" s="1"/>
  <c r="G26" i="8" a="1"/>
  <c r="G26" i="8" s="1"/>
  <c r="E26" i="8" a="1"/>
  <c r="E26" i="8" s="1"/>
  <c r="C27" i="8" a="1"/>
  <c r="C27" i="8" s="1"/>
  <c r="J26" i="8" a="1"/>
  <c r="J26" i="8" s="1"/>
  <c r="H26" i="8"/>
  <c r="F25" i="8"/>
  <c r="K25" i="8" a="1"/>
  <c r="K25" i="8" s="1"/>
  <c r="L25" i="8" a="1"/>
  <c r="L25" i="8" s="1"/>
  <c r="D25" i="8"/>
  <c r="I25" i="8" s="1" a="1"/>
  <c r="I25" i="8" s="1"/>
  <c r="Y23" i="8" l="1"/>
  <c r="Z15" i="8"/>
  <c r="Y21" i="8"/>
  <c r="E35" i="9" a="1"/>
  <c r="E35" i="9" s="1"/>
  <c r="D35" i="9" s="1" a="1"/>
  <c r="D35" i="9" s="1"/>
  <c r="AI15" i="8" s="1"/>
  <c r="Y15" i="8"/>
  <c r="Z18" i="8"/>
  <c r="Z13" i="8"/>
  <c r="E39" i="9" a="1"/>
  <c r="E39" i="9" s="1"/>
  <c r="D39" i="9" s="1" a="1"/>
  <c r="D39" i="9" s="1"/>
  <c r="AI19" i="8" s="1"/>
  <c r="Y18" i="8"/>
  <c r="AA17" i="8"/>
  <c r="Y13" i="8"/>
  <c r="E36" i="9" a="1"/>
  <c r="E36" i="9" s="1"/>
  <c r="D36" i="9" s="1" a="1"/>
  <c r="D36" i="9" s="1"/>
  <c r="AI16" i="8" s="1"/>
  <c r="Y17" i="8"/>
  <c r="Z19" i="8"/>
  <c r="AA13" i="8"/>
  <c r="AA20" i="8"/>
  <c r="Z20" i="8"/>
  <c r="E38" i="9" a="1"/>
  <c r="E38" i="9" s="1"/>
  <c r="AJ18" i="8" s="1"/>
  <c r="AA15" i="8"/>
  <c r="Y20" i="8"/>
  <c r="Z17" i="8"/>
  <c r="E37" i="9" a="1"/>
  <c r="E37" i="9" s="1"/>
  <c r="AJ17" i="8" s="1"/>
  <c r="Z16" i="8"/>
  <c r="E41" i="9" a="1"/>
  <c r="E41" i="9" s="1"/>
  <c r="AJ21" i="8" s="1"/>
  <c r="Y14" i="8"/>
  <c r="AA19" i="8"/>
  <c r="AA16" i="8"/>
  <c r="Z14" i="8"/>
  <c r="AA14" i="8"/>
  <c r="Z21" i="8"/>
  <c r="Y19" i="8"/>
  <c r="AA21" i="8"/>
  <c r="AA18" i="8"/>
  <c r="Y16" i="8"/>
  <c r="M25" i="8" a="1"/>
  <c r="M25" i="8" s="1"/>
  <c r="H27" i="8"/>
  <c r="E27" i="8" a="1"/>
  <c r="E27" i="8" s="1"/>
  <c r="C28" i="8" a="1"/>
  <c r="C28" i="8" s="1"/>
  <c r="G27" i="8" a="1"/>
  <c r="G27" i="8" s="1"/>
  <c r="J27" i="8" a="1"/>
  <c r="J27" i="8" s="1"/>
  <c r="F26" i="8"/>
  <c r="L26" i="8" a="1"/>
  <c r="L26" i="8" s="1"/>
  <c r="D26" i="8"/>
  <c r="I26" i="8" s="1" a="1"/>
  <c r="I26" i="8" s="1"/>
  <c r="K26" i="8" s="1" a="1"/>
  <c r="K26" i="8" s="1"/>
  <c r="AC19" i="8" l="1"/>
  <c r="AD18" i="8"/>
  <c r="AB15" i="8"/>
  <c r="AB13" i="8"/>
  <c r="AJ15" i="8"/>
  <c r="AJ19" i="8"/>
  <c r="AC13" i="8"/>
  <c r="AD13" i="8"/>
  <c r="AB20" i="8"/>
  <c r="AJ16" i="8"/>
  <c r="AD17" i="8"/>
  <c r="AC20" i="8"/>
  <c r="AD20" i="8"/>
  <c r="AC16" i="8"/>
  <c r="AC17" i="8"/>
  <c r="AB17" i="8"/>
  <c r="AC14" i="8"/>
  <c r="AB21" i="8"/>
  <c r="AC18" i="8"/>
  <c r="D38" i="9" a="1"/>
  <c r="D38" i="9" s="1"/>
  <c r="AI18" i="8" s="1"/>
  <c r="E40" i="9"/>
  <c r="AJ20" i="8" s="1"/>
  <c r="AD16" i="8"/>
  <c r="AD21" i="8"/>
  <c r="D37" i="9" a="1"/>
  <c r="D37" i="9" s="1"/>
  <c r="AI17" i="8" s="1"/>
  <c r="AC21" i="8"/>
  <c r="AB14" i="8"/>
  <c r="AD14" i="8"/>
  <c r="AB18" i="8"/>
  <c r="AB19" i="8"/>
  <c r="AB16" i="8"/>
  <c r="AD19" i="8"/>
  <c r="AC15" i="8"/>
  <c r="AD15" i="8"/>
  <c r="M26" i="8" a="1"/>
  <c r="M26" i="8" s="1"/>
  <c r="C29" i="8" a="1"/>
  <c r="C29" i="8" s="1"/>
  <c r="G28" i="8" a="1"/>
  <c r="G28" i="8" s="1"/>
  <c r="E28" i="8" a="1"/>
  <c r="E28" i="8" s="1"/>
  <c r="J28" i="8" a="1"/>
  <c r="J28" i="8" s="1"/>
  <c r="H28" i="8"/>
  <c r="V25" i="8"/>
  <c r="F27" i="8"/>
  <c r="D27" i="8"/>
  <c r="I27" i="8" s="1" a="1"/>
  <c r="I27" i="8" s="1"/>
  <c r="K27" i="8" a="1"/>
  <c r="K27" i="8" s="1"/>
  <c r="L27" i="8" a="1"/>
  <c r="L27" i="8" s="1"/>
  <c r="D40" i="9" l="1"/>
  <c r="AI20" i="8" s="1"/>
  <c r="M27" i="8" a="1"/>
  <c r="M27" i="8" s="1"/>
  <c r="V27" i="8" s="1"/>
  <c r="L28" i="8" a="1"/>
  <c r="L28" i="8" s="1"/>
  <c r="D28" i="8"/>
  <c r="I28" i="8" s="1" a="1"/>
  <c r="I28" i="8" s="1"/>
  <c r="K28" i="8" s="1" a="1"/>
  <c r="K28" i="8" s="1"/>
  <c r="F28" i="8"/>
  <c r="V26" i="8"/>
  <c r="G29" i="8" a="1"/>
  <c r="G29" i="8" s="1"/>
  <c r="C30" i="8" a="1"/>
  <c r="C30" i="8" s="1"/>
  <c r="E29" i="8" a="1"/>
  <c r="E29" i="8" s="1"/>
  <c r="H29" i="8"/>
  <c r="J29" i="8" a="1"/>
  <c r="J29" i="8" s="1"/>
  <c r="M28" i="8" l="1" a="1"/>
  <c r="M28" i="8" s="1"/>
  <c r="V28" i="8" s="1"/>
  <c r="J30" i="8" a="1"/>
  <c r="J30" i="8" s="1"/>
  <c r="C31" i="8" a="1"/>
  <c r="C31" i="8" s="1"/>
  <c r="E30" i="8" a="1"/>
  <c r="E30" i="8" s="1"/>
  <c r="H30" i="8"/>
  <c r="G30" i="8" a="1"/>
  <c r="G30" i="8" s="1"/>
  <c r="F29" i="8"/>
  <c r="L29" i="8" a="1"/>
  <c r="L29" i="8" s="1"/>
  <c r="D29" i="8"/>
  <c r="I29" i="8" s="1" a="1"/>
  <c r="I29" i="8" s="1"/>
  <c r="K29" i="8" s="1" a="1"/>
  <c r="K29" i="8" s="1"/>
  <c r="J31" i="8" l="1" a="1"/>
  <c r="J31" i="8" s="1"/>
  <c r="C32" i="8" a="1"/>
  <c r="C32" i="8" s="1"/>
  <c r="H31" i="8"/>
  <c r="G31" i="8" a="1"/>
  <c r="G31" i="8" s="1"/>
  <c r="E31" i="8" a="1"/>
  <c r="E31" i="8" s="1"/>
  <c r="L30" i="8" a="1"/>
  <c r="L30" i="8" s="1"/>
  <c r="F30" i="8"/>
  <c r="D30" i="8"/>
  <c r="I30" i="8" s="1" a="1"/>
  <c r="I30" i="8" s="1"/>
  <c r="K30" i="8" s="1" a="1"/>
  <c r="K30" i="8" s="1"/>
  <c r="M29" i="8" a="1"/>
  <c r="M29" i="8" s="1"/>
  <c r="F31" i="8" l="1"/>
  <c r="L31" i="8" a="1"/>
  <c r="L31" i="8" s="1"/>
  <c r="D31" i="8"/>
  <c r="I31" i="8" s="1" a="1"/>
  <c r="I31" i="8" s="1"/>
  <c r="K31" i="8" s="1" a="1"/>
  <c r="K31" i="8" s="1"/>
  <c r="V29" i="8"/>
  <c r="M30" i="8" a="1"/>
  <c r="M30" i="8" s="1"/>
  <c r="V30" i="8" s="1"/>
  <c r="H32" i="8"/>
  <c r="G32" i="8" a="1"/>
  <c r="G32" i="8" s="1"/>
  <c r="J32" i="8" a="1"/>
  <c r="J32" i="8" s="1"/>
  <c r="C33" i="8" a="1"/>
  <c r="C33" i="8" s="1"/>
  <c r="E32" i="8" a="1"/>
  <c r="E32" i="8" s="1"/>
  <c r="L32" i="8" l="1" a="1"/>
  <c r="L32" i="8" s="1"/>
  <c r="F32" i="8"/>
  <c r="D32" i="8"/>
  <c r="I32" i="8" s="1" a="1"/>
  <c r="I32" i="8" s="1"/>
  <c r="K32" i="8" s="1" a="1"/>
  <c r="K32" i="8" s="1"/>
  <c r="E33" i="8" a="1"/>
  <c r="E33" i="8" s="1"/>
  <c r="C34" i="8" a="1"/>
  <c r="C34" i="8" s="1"/>
  <c r="H33" i="8"/>
  <c r="G33" i="8" a="1"/>
  <c r="G33" i="8" s="1"/>
  <c r="J33" i="8" a="1"/>
  <c r="J33" i="8" s="1"/>
  <c r="M31" i="8" a="1"/>
  <c r="M31" i="8" s="1"/>
  <c r="V31" i="8" s="1"/>
  <c r="M32" i="8" l="1" a="1"/>
  <c r="M32" i="8" s="1"/>
  <c r="V32" i="8" s="1"/>
  <c r="E34" i="8" a="1"/>
  <c r="E34" i="8" s="1"/>
  <c r="C35" i="8" a="1"/>
  <c r="C35" i="8" s="1"/>
  <c r="G34" i="8" a="1"/>
  <c r="G34" i="8" s="1"/>
  <c r="J34" i="8" a="1"/>
  <c r="J34" i="8" s="1"/>
  <c r="H34" i="8"/>
  <c r="F33" i="8"/>
  <c r="L33" i="8" a="1"/>
  <c r="L33" i="8" s="1"/>
  <c r="D33" i="8"/>
  <c r="I33" i="8" s="1" a="1"/>
  <c r="I33" i="8" s="1"/>
  <c r="K33" i="8" s="1" a="1"/>
  <c r="K33" i="8" s="1"/>
  <c r="H35" i="8" l="1"/>
  <c r="C36" i="8" a="1"/>
  <c r="C36" i="8" s="1"/>
  <c r="N26" i="8" s="1" a="1"/>
  <c r="N26" i="8" s="1"/>
  <c r="G35" i="8" a="1"/>
  <c r="G35" i="8" s="1"/>
  <c r="E35" i="8" a="1"/>
  <c r="E35" i="8" s="1"/>
  <c r="J35" i="8" a="1"/>
  <c r="J35" i="8" s="1"/>
  <c r="M33" i="8" a="1"/>
  <c r="M33" i="8" s="1"/>
  <c r="L34" i="8" a="1"/>
  <c r="L34" i="8" s="1"/>
  <c r="D34" i="8"/>
  <c r="I34" i="8" s="1" a="1"/>
  <c r="I34" i="8" s="1"/>
  <c r="K34" i="8" s="1" a="1"/>
  <c r="K34" i="8" s="1"/>
  <c r="F34" i="8"/>
  <c r="N33" i="8" l="1" a="1"/>
  <c r="N33" i="8" s="1"/>
  <c r="T33" i="8" s="1"/>
  <c r="N32" i="8" a="1"/>
  <c r="N32" i="8" s="1"/>
  <c r="Q32" i="8" s="1"/>
  <c r="V33" i="8"/>
  <c r="N34" i="8" a="1"/>
  <c r="N34" i="8" s="1"/>
  <c r="M34" i="8" a="1"/>
  <c r="M34" i="8" s="1"/>
  <c r="V34" i="8" s="1"/>
  <c r="F35" i="8"/>
  <c r="L35" i="8" a="1"/>
  <c r="L35" i="8" s="1"/>
  <c r="D35" i="8"/>
  <c r="I35" i="8" s="1" a="1"/>
  <c r="I35" i="8" s="1"/>
  <c r="K35" i="8" s="1" a="1"/>
  <c r="K35" i="8" s="1"/>
  <c r="Q26" i="8"/>
  <c r="O26" i="8"/>
  <c r="T26" i="8"/>
  <c r="O33" i="8"/>
  <c r="H36" i="8"/>
  <c r="C37" i="8" a="1"/>
  <c r="C37" i="8" s="1"/>
  <c r="G36" i="8" a="1"/>
  <c r="G36" i="8" s="1"/>
  <c r="E36" i="8" a="1"/>
  <c r="E36" i="8" s="1"/>
  <c r="J36" i="8" a="1"/>
  <c r="J36" i="8" s="1"/>
  <c r="N31" i="8" a="1"/>
  <c r="N31" i="8" s="1"/>
  <c r="N30" i="8" a="1"/>
  <c r="N30" i="8" s="1"/>
  <c r="N29" i="8" a="1"/>
  <c r="N29" i="8" s="1"/>
  <c r="T34" i="8" l="1"/>
  <c r="Q33" i="8"/>
  <c r="O32" i="8"/>
  <c r="T32" i="8"/>
  <c r="O34" i="8"/>
  <c r="Q34" i="8"/>
  <c r="T29" i="8"/>
  <c r="Q29" i="8"/>
  <c r="O29" i="8"/>
  <c r="T30" i="8"/>
  <c r="Q30" i="8"/>
  <c r="O30" i="8"/>
  <c r="H37" i="8"/>
  <c r="J37" i="8" a="1"/>
  <c r="J37" i="8" s="1"/>
  <c r="C38" i="8" a="1"/>
  <c r="C38" i="8" s="1"/>
  <c r="E37" i="8" a="1"/>
  <c r="E37" i="8" s="1"/>
  <c r="G37" i="8" a="1"/>
  <c r="G37" i="8" s="1"/>
  <c r="M35" i="8" a="1"/>
  <c r="M35" i="8" s="1"/>
  <c r="V35" i="8" s="1"/>
  <c r="N35" i="8" a="1"/>
  <c r="N35" i="8" s="1"/>
  <c r="O31" i="8"/>
  <c r="Q31" i="8"/>
  <c r="T31" i="8"/>
  <c r="L36" i="8" a="1"/>
  <c r="L36" i="8" s="1"/>
  <c r="D36" i="8"/>
  <c r="I36" i="8" s="1" a="1"/>
  <c r="I36" i="8" s="1"/>
  <c r="K36" i="8" s="1" a="1"/>
  <c r="K36" i="8" s="1"/>
  <c r="F36" i="8"/>
  <c r="R32" i="8"/>
  <c r="P34" i="8"/>
  <c r="P31" i="8"/>
  <c r="P33" i="8"/>
  <c r="P30" i="8"/>
  <c r="R34" i="8"/>
  <c r="P32" i="8"/>
  <c r="R30" i="8"/>
  <c r="P29" i="8"/>
  <c r="R26" i="8"/>
  <c r="R31" i="8"/>
  <c r="R33" i="8"/>
  <c r="P26" i="8"/>
  <c r="R29" i="8"/>
  <c r="Q35" i="8" l="1"/>
  <c r="S26" i="8"/>
  <c r="S32" i="8"/>
  <c r="S33" i="8"/>
  <c r="S34" i="8"/>
  <c r="S31" i="8"/>
  <c r="S30" i="8"/>
  <c r="S29" i="8"/>
  <c r="F37" i="8"/>
  <c r="L37" i="8" a="1"/>
  <c r="L37" i="8" s="1"/>
  <c r="D37" i="8"/>
  <c r="I37" i="8" s="1" a="1"/>
  <c r="I37" i="8" s="1"/>
  <c r="K37" i="8" s="1" a="1"/>
  <c r="K37" i="8" s="1"/>
  <c r="E38" i="8" a="1"/>
  <c r="E38" i="8" s="1"/>
  <c r="G38" i="8" a="1"/>
  <c r="G38" i="8" s="1"/>
  <c r="H38" i="8"/>
  <c r="J38" i="8" a="1"/>
  <c r="J38" i="8" s="1"/>
  <c r="C39" i="8" a="1"/>
  <c r="C39" i="8" s="1"/>
  <c r="M36" i="8" a="1"/>
  <c r="M36" i="8" s="1"/>
  <c r="N36" i="8" a="1"/>
  <c r="N36" i="8" s="1"/>
  <c r="T35" i="8"/>
  <c r="O35" i="8"/>
  <c r="R35" i="8"/>
  <c r="P35" i="8"/>
  <c r="Q36" i="8" l="1"/>
  <c r="S35" i="8"/>
  <c r="J39" i="8" a="1"/>
  <c r="J39" i="8" s="1"/>
  <c r="C40" i="8" a="1"/>
  <c r="C40" i="8" s="1"/>
  <c r="H39" i="8"/>
  <c r="G39" i="8" a="1"/>
  <c r="G39" i="8" s="1"/>
  <c r="E39" i="8" a="1"/>
  <c r="E39" i="8" s="1"/>
  <c r="V37" i="8"/>
  <c r="N37" i="8" a="1"/>
  <c r="N37" i="8" s="1"/>
  <c r="T37" i="8"/>
  <c r="R37" i="8"/>
  <c r="Q37" i="8"/>
  <c r="M37" i="8" a="1"/>
  <c r="M37" i="8" s="1"/>
  <c r="O37" i="8"/>
  <c r="P37" i="8"/>
  <c r="U37" i="8"/>
  <c r="X37" i="8"/>
  <c r="S37" i="8"/>
  <c r="W37" i="8"/>
  <c r="V36" i="8"/>
  <c r="T36" i="8"/>
  <c r="AB38" i="8"/>
  <c r="Z38" i="8"/>
  <c r="AC38" i="8"/>
  <c r="AD38" i="8"/>
  <c r="Y38" i="8"/>
  <c r="AA38" i="8"/>
  <c r="O36" i="8"/>
  <c r="D38" i="8"/>
  <c r="I38" i="8" s="1" a="1"/>
  <c r="I38" i="8" s="1"/>
  <c r="F38" i="8"/>
  <c r="L38" i="8" a="1"/>
  <c r="L38" i="8" s="1"/>
  <c r="K38" i="8" a="1"/>
  <c r="K38" i="8" s="1"/>
  <c r="R36" i="8"/>
  <c r="P36" i="8"/>
  <c r="S36" i="8" l="1"/>
  <c r="V38" i="8"/>
  <c r="Q38" i="8"/>
  <c r="M38" i="8" a="1"/>
  <c r="M38" i="8" s="1"/>
  <c r="N38" i="8" a="1"/>
  <c r="N38" i="8" s="1"/>
  <c r="P38" i="8"/>
  <c r="X38" i="8"/>
  <c r="W38" i="8"/>
  <c r="U38" i="8"/>
  <c r="T38" i="8"/>
  <c r="O38" i="8"/>
  <c r="R38" i="8"/>
  <c r="S38" i="8"/>
  <c r="K39" i="8" a="1"/>
  <c r="K39" i="8" s="1"/>
  <c r="F39" i="8"/>
  <c r="L39" i="8" a="1"/>
  <c r="L39" i="8" s="1"/>
  <c r="D39" i="8"/>
  <c r="I39" i="8" s="1" a="1"/>
  <c r="I39" i="8" s="1"/>
  <c r="AA39" i="8"/>
  <c r="Z39" i="8"/>
  <c r="AB39" i="8"/>
  <c r="AC39" i="8"/>
  <c r="AD39" i="8"/>
  <c r="E40" i="8" a="1"/>
  <c r="E40" i="8" s="1"/>
  <c r="G40" i="8" a="1"/>
  <c r="G40" i="8" s="1"/>
  <c r="H40" i="8"/>
  <c r="J40" i="8" a="1"/>
  <c r="J40" i="8" s="1"/>
  <c r="C41" i="8" a="1"/>
  <c r="C41" i="8" s="1"/>
  <c r="D40" i="8" l="1"/>
  <c r="I40" i="8" s="1" a="1"/>
  <c r="I40" i="8" s="1"/>
  <c r="K40" i="8" s="1" a="1"/>
  <c r="K40" i="8" s="1"/>
  <c r="F40" i="8"/>
  <c r="L40" i="8" a="1"/>
  <c r="L40" i="8" s="1"/>
  <c r="S39" i="8"/>
  <c r="N39" i="8" a="1"/>
  <c r="N39" i="8" s="1"/>
  <c r="P39" i="8"/>
  <c r="V39" i="8"/>
  <c r="W39" i="8"/>
  <c r="X39" i="8"/>
  <c r="M39" i="8" a="1"/>
  <c r="M39" i="8" s="1"/>
  <c r="T39" i="8"/>
  <c r="U39" i="8"/>
  <c r="O39" i="8"/>
  <c r="Q39" i="8"/>
  <c r="R39" i="8"/>
  <c r="J41" i="8" a="1"/>
  <c r="J41" i="8" s="1"/>
  <c r="C42" i="8" a="1"/>
  <c r="C42" i="8" s="1"/>
  <c r="H41" i="8"/>
  <c r="G41" i="8" a="1"/>
  <c r="G41" i="8" s="1"/>
  <c r="E41" i="8" a="1"/>
  <c r="E41" i="8" s="1"/>
  <c r="G42" i="8" l="1" a="1"/>
  <c r="G42" i="8" s="1"/>
  <c r="E42" i="8" a="1"/>
  <c r="E42" i="8" s="1"/>
  <c r="J42" i="8" a="1"/>
  <c r="J42" i="8" s="1"/>
  <c r="C43" i="8" a="1"/>
  <c r="C43" i="8" s="1"/>
  <c r="H42" i="8"/>
  <c r="L41" i="8" a="1"/>
  <c r="L41" i="8" s="1"/>
  <c r="D41" i="8"/>
  <c r="I41" i="8" s="1" a="1"/>
  <c r="I41" i="8" s="1"/>
  <c r="K41" i="8" s="1" a="1"/>
  <c r="K41" i="8" s="1"/>
  <c r="F41" i="8"/>
  <c r="M40" i="8" a="1"/>
  <c r="M40" i="8" s="1"/>
  <c r="V40" i="8" s="1"/>
  <c r="H43" i="8" l="1"/>
  <c r="E43" i="8" a="1"/>
  <c r="E43" i="8" s="1"/>
  <c r="J43" i="8" a="1"/>
  <c r="J43" i="8" s="1"/>
  <c r="C44" i="8" a="1"/>
  <c r="C44" i="8" s="1"/>
  <c r="G43" i="8" a="1"/>
  <c r="G43" i="8" s="1"/>
  <c r="F42" i="8"/>
  <c r="L42" i="8" a="1"/>
  <c r="L42" i="8" s="1"/>
  <c r="D42" i="8"/>
  <c r="I42" i="8" s="1" a="1"/>
  <c r="I42" i="8" s="1"/>
  <c r="K42" i="8" s="1" a="1"/>
  <c r="K42" i="8" s="1"/>
  <c r="M41" i="8" a="1"/>
  <c r="M41" i="8" s="1"/>
  <c r="V41" i="8" s="1"/>
  <c r="M42" i="8" l="1" a="1"/>
  <c r="M42" i="8" s="1"/>
  <c r="V42" i="8" s="1"/>
  <c r="C45" i="8" a="1"/>
  <c r="C45" i="8" s="1"/>
  <c r="G44" i="8" a="1"/>
  <c r="G44" i="8" s="1"/>
  <c r="H44" i="8"/>
  <c r="E44" i="8" a="1"/>
  <c r="E44" i="8" s="1"/>
  <c r="J44" i="8" a="1"/>
  <c r="J44" i="8" s="1"/>
  <c r="F43" i="8"/>
  <c r="D43" i="8"/>
  <c r="I43" i="8" s="1" a="1"/>
  <c r="I43" i="8" s="1"/>
  <c r="K43" i="8" s="1" a="1"/>
  <c r="K43" i="8" s="1"/>
  <c r="L43" i="8" a="1"/>
  <c r="L43" i="8" s="1"/>
  <c r="G45" i="8" l="1" a="1"/>
  <c r="G45" i="8" s="1"/>
  <c r="J45" i="8" a="1"/>
  <c r="J45" i="8" s="1"/>
  <c r="C46" i="8" a="1"/>
  <c r="C46" i="8" s="1"/>
  <c r="H45" i="8"/>
  <c r="E45" i="8" a="1"/>
  <c r="E45" i="8" s="1"/>
  <c r="M43" i="8" a="1"/>
  <c r="M43" i="8" s="1"/>
  <c r="V43" i="8" s="1"/>
  <c r="D44" i="8"/>
  <c r="I44" i="8" s="1" a="1"/>
  <c r="I44" i="8" s="1"/>
  <c r="K44" i="8" s="1" a="1"/>
  <c r="K44" i="8" s="1"/>
  <c r="F44" i="8"/>
  <c r="L44" i="8" a="1"/>
  <c r="L44" i="8" s="1"/>
  <c r="F45" i="8" l="1"/>
  <c r="D45" i="8"/>
  <c r="I45" i="8" s="1" a="1"/>
  <c r="I45" i="8" s="1"/>
  <c r="K45" i="8" s="1" a="1"/>
  <c r="K45" i="8" s="1"/>
  <c r="L45" i="8" a="1"/>
  <c r="L45" i="8" s="1"/>
  <c r="M44" i="8" a="1"/>
  <c r="M44" i="8" s="1"/>
  <c r="V44" i="8" s="1"/>
  <c r="J46" i="8" a="1"/>
  <c r="J46" i="8" s="1"/>
  <c r="C47" i="8" a="1"/>
  <c r="C47" i="8" s="1"/>
  <c r="H46" i="8"/>
  <c r="G46" i="8" a="1"/>
  <c r="G46" i="8" s="1"/>
  <c r="E46" i="8" a="1"/>
  <c r="E46" i="8" s="1"/>
  <c r="L46" i="8" l="1" a="1"/>
  <c r="L46" i="8" s="1"/>
  <c r="F46" i="8"/>
  <c r="D46" i="8"/>
  <c r="I46" i="8" s="1" a="1"/>
  <c r="I46" i="8" s="1"/>
  <c r="K46" i="8" s="1" a="1"/>
  <c r="K46" i="8" s="1"/>
  <c r="M45" i="8" a="1"/>
  <c r="M45" i="8" s="1"/>
  <c r="H47" i="8"/>
  <c r="J47" i="8" a="1"/>
  <c r="J47" i="8" s="1"/>
  <c r="C48" i="8" a="1"/>
  <c r="C48" i="8" s="1"/>
  <c r="G47" i="8" a="1"/>
  <c r="G47" i="8" s="1"/>
  <c r="E47" i="8" a="1"/>
  <c r="E47" i="8" s="1"/>
  <c r="L47" i="8" l="1" a="1"/>
  <c r="L47" i="8" s="1"/>
  <c r="D47" i="8"/>
  <c r="I47" i="8" s="1" a="1"/>
  <c r="I47" i="8" s="1"/>
  <c r="K47" i="8" s="1" a="1"/>
  <c r="K47" i="8" s="1"/>
  <c r="F47" i="8"/>
  <c r="V45" i="8"/>
  <c r="M46" i="8" a="1"/>
  <c r="M46" i="8" s="1"/>
  <c r="V46" i="8" s="1"/>
  <c r="J48" i="8" a="1"/>
  <c r="J48" i="8" s="1"/>
  <c r="C49" i="8" a="1"/>
  <c r="C49" i="8" s="1"/>
  <c r="E48" i="8" a="1"/>
  <c r="E48" i="8" s="1"/>
  <c r="G48" i="8" a="1"/>
  <c r="G48" i="8" s="1"/>
  <c r="H48" i="8"/>
  <c r="L48" i="8" l="1" a="1"/>
  <c r="L48" i="8" s="1"/>
  <c r="F48" i="8"/>
  <c r="D48" i="8"/>
  <c r="I48" i="8" s="1" a="1"/>
  <c r="I48" i="8" s="1"/>
  <c r="K48" i="8" s="1" a="1"/>
  <c r="K48" i="8" s="1"/>
  <c r="M47" i="8" a="1"/>
  <c r="M47" i="8" s="1"/>
  <c r="H49" i="8"/>
  <c r="G49" i="8" a="1"/>
  <c r="G49" i="8" s="1"/>
  <c r="E49" i="8" a="1"/>
  <c r="E49" i="8" s="1"/>
  <c r="C50" i="8" a="1"/>
  <c r="C50" i="8" s="1"/>
  <c r="J49" i="8" a="1"/>
  <c r="J49" i="8" s="1"/>
  <c r="V47" i="8" l="1"/>
  <c r="G50" i="8" a="1"/>
  <c r="G50" i="8" s="1"/>
  <c r="C51" i="8" a="1"/>
  <c r="C51" i="8" s="1"/>
  <c r="H50" i="8"/>
  <c r="E50" i="8" a="1"/>
  <c r="E50" i="8" s="1"/>
  <c r="J50" i="8" a="1"/>
  <c r="J50" i="8" s="1"/>
  <c r="M48" i="8" a="1"/>
  <c r="M48" i="8" s="1"/>
  <c r="V48" i="8" s="1"/>
  <c r="L49" i="8" a="1"/>
  <c r="L49" i="8" s="1"/>
  <c r="D49" i="8"/>
  <c r="I49" i="8" s="1" a="1"/>
  <c r="I49" i="8" s="1"/>
  <c r="K49" i="8" s="1" a="1"/>
  <c r="K49" i="8" s="1"/>
  <c r="F49" i="8"/>
  <c r="F50" i="8" l="1"/>
  <c r="L50" i="8" a="1"/>
  <c r="L50" i="8" s="1"/>
  <c r="D50" i="8"/>
  <c r="I50" i="8" s="1" a="1"/>
  <c r="I50" i="8" s="1"/>
  <c r="K50" i="8" s="1" a="1"/>
  <c r="K50" i="8" s="1"/>
  <c r="H51" i="8"/>
  <c r="G51" i="8" a="1"/>
  <c r="G51" i="8" s="1"/>
  <c r="J51" i="8" a="1"/>
  <c r="J51" i="8" s="1"/>
  <c r="C52" i="8" a="1"/>
  <c r="C52" i="8" s="1"/>
  <c r="N46" i="8" s="1" a="1"/>
  <c r="N46" i="8" s="1"/>
  <c r="E51" i="8" a="1"/>
  <c r="E51" i="8" s="1"/>
  <c r="M49" i="8" a="1"/>
  <c r="M49" i="8" s="1"/>
  <c r="N49" i="8" l="1" a="1"/>
  <c r="N49" i="8" s="1"/>
  <c r="T49" i="8" s="1"/>
  <c r="V49" i="8"/>
  <c r="Q46" i="8"/>
  <c r="T46" i="8"/>
  <c r="O46" i="8"/>
  <c r="F51" i="8"/>
  <c r="L51" i="8" a="1"/>
  <c r="L51" i="8" s="1"/>
  <c r="D51" i="8"/>
  <c r="I51" i="8" s="1" a="1"/>
  <c r="I51" i="8" s="1"/>
  <c r="K51" i="8" s="1" a="1"/>
  <c r="K51" i="8" s="1"/>
  <c r="M50" i="8" a="1"/>
  <c r="M50" i="8" s="1"/>
  <c r="V50" i="8" s="1"/>
  <c r="N50" i="8" a="1"/>
  <c r="N50" i="8" s="1"/>
  <c r="E52" i="8" a="1"/>
  <c r="E52" i="8" s="1"/>
  <c r="H52" i="8"/>
  <c r="J52" i="8" a="1"/>
  <c r="J52" i="8" s="1"/>
  <c r="C53" i="8" a="1"/>
  <c r="C53" i="8" s="1"/>
  <c r="G52" i="8" a="1"/>
  <c r="G52" i="8" s="1"/>
  <c r="N47" i="8" a="1"/>
  <c r="N47" i="8" s="1"/>
  <c r="N48" i="8" a="1"/>
  <c r="N48" i="8" s="1"/>
  <c r="Q49" i="8" l="1"/>
  <c r="O49" i="8"/>
  <c r="C54" i="8" a="1"/>
  <c r="C54" i="8" s="1"/>
  <c r="H53" i="8"/>
  <c r="E53" i="8" a="1"/>
  <c r="E53" i="8" s="1"/>
  <c r="G53" i="8" a="1"/>
  <c r="G53" i="8" s="1"/>
  <c r="J53" i="8" a="1"/>
  <c r="J53" i="8" s="1"/>
  <c r="N51" i="8" a="1"/>
  <c r="N51" i="8" s="1"/>
  <c r="M51" i="8" a="1"/>
  <c r="M51" i="8" s="1"/>
  <c r="L52" i="8" a="1"/>
  <c r="L52" i="8" s="1"/>
  <c r="D52" i="8"/>
  <c r="I52" i="8" s="1" a="1"/>
  <c r="I52" i="8" s="1"/>
  <c r="K52" i="8" s="1" a="1"/>
  <c r="K52" i="8" s="1"/>
  <c r="F52" i="8"/>
  <c r="O50" i="8"/>
  <c r="Q50" i="8"/>
  <c r="O47" i="8"/>
  <c r="Q47" i="8"/>
  <c r="T47" i="8"/>
  <c r="T50" i="8"/>
  <c r="Q48" i="8"/>
  <c r="T48" i="8"/>
  <c r="O48" i="8"/>
  <c r="P46" i="8"/>
  <c r="P50" i="8"/>
  <c r="P48" i="8"/>
  <c r="R46" i="8"/>
  <c r="P49" i="8"/>
  <c r="R49" i="8"/>
  <c r="R48" i="8"/>
  <c r="R50" i="8"/>
  <c r="P47" i="8"/>
  <c r="R47" i="8"/>
  <c r="O51" i="8" l="1"/>
  <c r="S47" i="8"/>
  <c r="S50" i="8"/>
  <c r="S46" i="8"/>
  <c r="S49" i="8"/>
  <c r="S48" i="8"/>
  <c r="M52" i="8" a="1"/>
  <c r="M52" i="8" s="1"/>
  <c r="N52" i="8" a="1"/>
  <c r="N52" i="8" s="1"/>
  <c r="V51" i="8"/>
  <c r="Q51" i="8"/>
  <c r="F53" i="8"/>
  <c r="D53" i="8"/>
  <c r="I53" i="8" s="1" a="1"/>
  <c r="I53" i="8" s="1"/>
  <c r="K53" i="8" s="1" a="1"/>
  <c r="K53" i="8" s="1"/>
  <c r="L53" i="8" a="1"/>
  <c r="L53" i="8" s="1"/>
  <c r="T51" i="8"/>
  <c r="J54" i="8" a="1"/>
  <c r="J54" i="8" s="1"/>
  <c r="G54" i="8" a="1"/>
  <c r="G54" i="8" s="1"/>
  <c r="H54" i="8"/>
  <c r="C55" i="8" a="1"/>
  <c r="C55" i="8" s="1"/>
  <c r="E54" i="8" a="1"/>
  <c r="E54" i="8" s="1"/>
  <c r="P51" i="8"/>
  <c r="R51" i="8"/>
  <c r="T52" i="8" l="1"/>
  <c r="O52" i="8"/>
  <c r="S51" i="8"/>
  <c r="Q52" i="8"/>
  <c r="V53" i="8"/>
  <c r="N53" i="8" a="1"/>
  <c r="N53" i="8" s="1"/>
  <c r="O53" i="8"/>
  <c r="Q53" i="8"/>
  <c r="M53" i="8" a="1"/>
  <c r="M53" i="8" s="1"/>
  <c r="T53" i="8"/>
  <c r="P53" i="8"/>
  <c r="R53" i="8"/>
  <c r="X53" i="8"/>
  <c r="S53" i="8"/>
  <c r="W53" i="8"/>
  <c r="U53" i="8"/>
  <c r="J55" i="8" a="1"/>
  <c r="J55" i="8" s="1"/>
  <c r="C56" i="8" a="1"/>
  <c r="C56" i="8" s="1"/>
  <c r="H55" i="8"/>
  <c r="G55" i="8" a="1"/>
  <c r="G55" i="8" s="1"/>
  <c r="E55" i="8" a="1"/>
  <c r="E55" i="8" s="1"/>
  <c r="V52" i="8"/>
  <c r="K54" i="8" a="1"/>
  <c r="K54" i="8" s="1"/>
  <c r="F54" i="8"/>
  <c r="D54" i="8"/>
  <c r="I54" i="8" s="1" a="1"/>
  <c r="I54" i="8" s="1"/>
  <c r="L54" i="8" a="1"/>
  <c r="L54" i="8" s="1"/>
  <c r="Y54" i="8"/>
  <c r="AC54" i="8"/>
  <c r="AD54" i="8"/>
  <c r="AB54" i="8"/>
  <c r="Z54" i="8"/>
  <c r="AA54" i="8"/>
  <c r="R52" i="8"/>
  <c r="P52" i="8"/>
  <c r="S52" i="8" l="1"/>
  <c r="E56" i="8" a="1"/>
  <c r="E56" i="8" s="1"/>
  <c r="H56" i="8"/>
  <c r="G56" i="8" a="1"/>
  <c r="G56" i="8" s="1"/>
  <c r="J56" i="8" a="1"/>
  <c r="J56" i="8" s="1"/>
  <c r="C57" i="8" a="1"/>
  <c r="C57" i="8" s="1"/>
  <c r="Q54" i="8"/>
  <c r="N54" i="8" a="1"/>
  <c r="N54" i="8" s="1"/>
  <c r="M54" i="8" a="1"/>
  <c r="M54" i="8" s="1"/>
  <c r="T54" i="8"/>
  <c r="V54" i="8"/>
  <c r="P54" i="8"/>
  <c r="O54" i="8"/>
  <c r="X54" i="8"/>
  <c r="W54" i="8"/>
  <c r="U54" i="8"/>
  <c r="R54" i="8"/>
  <c r="S54" i="8"/>
  <c r="K55" i="8" a="1"/>
  <c r="K55" i="8" s="1"/>
  <c r="F55" i="8"/>
  <c r="D55" i="8"/>
  <c r="I55" i="8" s="1" a="1"/>
  <c r="I55" i="8" s="1"/>
  <c r="L55" i="8" a="1"/>
  <c r="L55" i="8" s="1"/>
  <c r="AB55" i="8"/>
  <c r="Z55" i="8"/>
  <c r="Y55" i="8"/>
  <c r="AD55" i="8"/>
  <c r="AA55" i="8"/>
  <c r="AC55" i="8"/>
  <c r="H57" i="8" l="1"/>
  <c r="G57" i="8" a="1"/>
  <c r="G57" i="8" s="1"/>
  <c r="E57" i="8" a="1"/>
  <c r="E57" i="8" s="1"/>
  <c r="J57" i="8" a="1"/>
  <c r="J57" i="8" s="1"/>
  <c r="C58" i="8" a="1"/>
  <c r="C58" i="8" s="1"/>
  <c r="W55" i="8"/>
  <c r="S55" i="8"/>
  <c r="V55" i="8"/>
  <c r="N55" i="8" a="1"/>
  <c r="N55" i="8" s="1"/>
  <c r="T55" i="8"/>
  <c r="O55" i="8"/>
  <c r="M55" i="8" a="1"/>
  <c r="M55" i="8" s="1"/>
  <c r="Q55" i="8"/>
  <c r="X55" i="8"/>
  <c r="R55" i="8"/>
  <c r="U55" i="8"/>
  <c r="P55" i="8"/>
  <c r="AA56" i="8"/>
  <c r="AD56" i="8"/>
  <c r="Y56" i="8"/>
  <c r="AB56" i="8"/>
  <c r="Z56" i="8"/>
  <c r="AC56" i="8"/>
  <c r="K56" i="8" a="1"/>
  <c r="K56" i="8" s="1"/>
  <c r="D56" i="8"/>
  <c r="I56" i="8" s="1" a="1"/>
  <c r="I56" i="8" s="1"/>
  <c r="F56" i="8"/>
  <c r="L56" i="8" a="1"/>
  <c r="L56" i="8" s="1"/>
  <c r="H58" i="8" l="1"/>
  <c r="J58" i="8" a="1"/>
  <c r="J58" i="8" s="1"/>
  <c r="C59" i="8" a="1"/>
  <c r="C59" i="8" s="1"/>
  <c r="G58" i="8" a="1"/>
  <c r="G58" i="8" s="1"/>
  <c r="E58" i="8" a="1"/>
  <c r="E58" i="8" s="1"/>
  <c r="K57" i="8" a="1"/>
  <c r="K57" i="8" s="1"/>
  <c r="D57" i="8"/>
  <c r="I57" i="8" s="1" a="1"/>
  <c r="I57" i="8" s="1"/>
  <c r="F57" i="8"/>
  <c r="L57" i="8" a="1"/>
  <c r="L57" i="8" s="1"/>
  <c r="P56" i="8"/>
  <c r="U56" i="8"/>
  <c r="T56" i="8"/>
  <c r="O56" i="8"/>
  <c r="S56" i="8"/>
  <c r="Q56" i="8"/>
  <c r="R56" i="8"/>
  <c r="N56" i="8" a="1"/>
  <c r="N56" i="8" s="1"/>
  <c r="X56" i="8"/>
  <c r="W56" i="8"/>
  <c r="M56" i="8" a="1"/>
  <c r="M56" i="8" s="1"/>
  <c r="V56" i="8"/>
  <c r="Z57" i="8"/>
  <c r="AD57" i="8"/>
  <c r="AC57" i="8"/>
  <c r="AA57" i="8"/>
  <c r="Y57" i="8"/>
  <c r="AB57" i="8"/>
  <c r="D58" i="8" l="1"/>
  <c r="I58" i="8" s="1" a="1"/>
  <c r="I58" i="8" s="1"/>
  <c r="F58" i="8"/>
  <c r="K58" i="8" a="1"/>
  <c r="K58" i="8" s="1"/>
  <c r="L58" i="8" a="1"/>
  <c r="L58" i="8" s="1"/>
  <c r="H59" i="8"/>
  <c r="G59" i="8" a="1"/>
  <c r="G59" i="8" s="1"/>
  <c r="J59" i="8" a="1"/>
  <c r="J59" i="8" s="1"/>
  <c r="C60" i="8" a="1"/>
  <c r="C60" i="8" s="1"/>
  <c r="E59" i="8" a="1"/>
  <c r="E59" i="8" s="1"/>
  <c r="U57" i="8"/>
  <c r="R57" i="8"/>
  <c r="P57" i="8"/>
  <c r="M57" i="8" a="1"/>
  <c r="M57" i="8" s="1"/>
  <c r="Q57" i="8"/>
  <c r="O57" i="8"/>
  <c r="V57" i="8"/>
  <c r="T57" i="8"/>
  <c r="X57" i="8"/>
  <c r="S57" i="8"/>
  <c r="W57" i="8"/>
  <c r="N57" i="8" a="1"/>
  <c r="N57" i="8" s="1"/>
  <c r="AB58" i="8"/>
  <c r="AC58" i="8"/>
  <c r="Z58" i="8"/>
  <c r="AA58" i="8"/>
  <c r="AD58" i="8"/>
  <c r="Y58" i="8"/>
  <c r="G60" i="8" l="1" a="1"/>
  <c r="G60" i="8" s="1"/>
  <c r="H60" i="8"/>
  <c r="E60" i="8" a="1"/>
  <c r="E60" i="8" s="1"/>
  <c r="C61" i="8" a="1"/>
  <c r="C61" i="8" s="1"/>
  <c r="J60" i="8" a="1"/>
  <c r="J60" i="8" s="1"/>
  <c r="W58" i="8"/>
  <c r="X58" i="8"/>
  <c r="T58" i="8"/>
  <c r="S58" i="8"/>
  <c r="N58" i="8" a="1"/>
  <c r="N58" i="8" s="1"/>
  <c r="Q58" i="8"/>
  <c r="U58" i="8"/>
  <c r="V58" i="8"/>
  <c r="P58" i="8"/>
  <c r="M58" i="8" a="1"/>
  <c r="M58" i="8" s="1"/>
  <c r="R58" i="8"/>
  <c r="O58" i="8"/>
  <c r="AB59" i="8"/>
  <c r="Y59" i="8"/>
  <c r="Z59" i="8"/>
  <c r="AC59" i="8"/>
  <c r="AA59" i="8"/>
  <c r="AD59" i="8"/>
  <c r="D59" i="8"/>
  <c r="I59" i="8" s="1" a="1"/>
  <c r="I59" i="8" s="1"/>
  <c r="K59" i="8" a="1"/>
  <c r="K59" i="8" s="1"/>
  <c r="F59" i="8"/>
  <c r="L59" i="8" a="1"/>
  <c r="L59" i="8" s="1"/>
  <c r="E61" i="8" l="1" a="1"/>
  <c r="E61" i="8" s="1"/>
  <c r="G61" i="8" a="1"/>
  <c r="G61" i="8" s="1"/>
  <c r="J61" i="8" a="1"/>
  <c r="J61" i="8" s="1"/>
  <c r="H61" i="8"/>
  <c r="N24" i="8" a="1"/>
  <c r="N24" i="8" s="1"/>
  <c r="N25" i="8" a="1"/>
  <c r="N25" i="8" s="1"/>
  <c r="N27" i="8" a="1"/>
  <c r="N27" i="8" s="1"/>
  <c r="N28" i="8" a="1"/>
  <c r="N28" i="8" s="1"/>
  <c r="N40" i="8" a="1"/>
  <c r="N40" i="8" s="1"/>
  <c r="N41" i="8" a="1"/>
  <c r="N41" i="8" s="1"/>
  <c r="N42" i="8" a="1"/>
  <c r="N42" i="8" s="1"/>
  <c r="N43" i="8" a="1"/>
  <c r="N43" i="8" s="1"/>
  <c r="N44" i="8" a="1"/>
  <c r="N44" i="8" s="1"/>
  <c r="N45" i="8" a="1"/>
  <c r="N45" i="8" s="1"/>
  <c r="F60" i="8"/>
  <c r="D60" i="8"/>
  <c r="I60" i="8" s="1" a="1"/>
  <c r="I60" i="8" s="1"/>
  <c r="K60" i="8" a="1"/>
  <c r="K60" i="8" s="1"/>
  <c r="L60" i="8" a="1"/>
  <c r="L60" i="8" s="1"/>
  <c r="T59" i="8"/>
  <c r="P59" i="8"/>
  <c r="O59" i="8"/>
  <c r="R59" i="8"/>
  <c r="N59" i="8" a="1"/>
  <c r="N59" i="8" s="1"/>
  <c r="X59" i="8"/>
  <c r="S59" i="8"/>
  <c r="Q59" i="8"/>
  <c r="M59" i="8" a="1"/>
  <c r="M59" i="8" s="1"/>
  <c r="W59" i="8"/>
  <c r="V59" i="8"/>
  <c r="U59" i="8"/>
  <c r="Y60" i="8"/>
  <c r="AB60" i="8"/>
  <c r="Z60" i="8"/>
  <c r="AC60" i="8"/>
  <c r="AA60" i="8"/>
  <c r="AD60" i="8"/>
  <c r="F61" i="8" l="1"/>
  <c r="D61" i="8"/>
  <c r="I61" i="8" s="1" a="1"/>
  <c r="I61" i="8" s="1"/>
  <c r="K61" i="8" a="1"/>
  <c r="K61" i="8" s="1"/>
  <c r="L61" i="8" a="1"/>
  <c r="L61" i="8" s="1"/>
  <c r="Q28" i="8"/>
  <c r="T28" i="8"/>
  <c r="O28" i="8"/>
  <c r="Q41" i="8"/>
  <c r="O41" i="8"/>
  <c r="T41" i="8"/>
  <c r="M60" i="8" a="1"/>
  <c r="M60" i="8" s="1"/>
  <c r="R60" i="8"/>
  <c r="S60" i="8"/>
  <c r="V60" i="8"/>
  <c r="U60" i="8"/>
  <c r="N60" i="8" a="1"/>
  <c r="N60" i="8" s="1"/>
  <c r="X60" i="8"/>
  <c r="Q60" i="8"/>
  <c r="W60" i="8"/>
  <c r="O60" i="8"/>
  <c r="P60" i="8"/>
  <c r="T60" i="8"/>
  <c r="T27" i="8"/>
  <c r="Q27" i="8"/>
  <c r="O27" i="8"/>
  <c r="O25" i="8"/>
  <c r="Q25" i="8"/>
  <c r="T25" i="8"/>
  <c r="Q44" i="8"/>
  <c r="T44" i="8"/>
  <c r="O44" i="8"/>
  <c r="T43" i="8"/>
  <c r="Q43" i="8"/>
  <c r="O43" i="8"/>
  <c r="Z61" i="8"/>
  <c r="Y61" i="8"/>
  <c r="AC61" i="8"/>
  <c r="AA61" i="8"/>
  <c r="AB61" i="8"/>
  <c r="AD61" i="8"/>
  <c r="O45" i="8"/>
  <c r="T45" i="8"/>
  <c r="Q45" i="8"/>
  <c r="O24" i="8"/>
  <c r="T24" i="8"/>
  <c r="Q24" i="8"/>
  <c r="Q42" i="8"/>
  <c r="O42" i="8"/>
  <c r="T42" i="8"/>
  <c r="O40" i="8"/>
  <c r="Q40" i="8"/>
  <c r="T40" i="8"/>
  <c r="P41" i="8"/>
  <c r="R40" i="8"/>
  <c r="P28" i="8"/>
  <c r="R43" i="8"/>
  <c r="R27" i="8"/>
  <c r="P45" i="8"/>
  <c r="P27" i="8"/>
  <c r="R25" i="8"/>
  <c r="P24" i="8"/>
  <c r="R28" i="8"/>
  <c r="P42" i="8"/>
  <c r="R45" i="8"/>
  <c r="R41" i="8"/>
  <c r="P44" i="8"/>
  <c r="P25" i="8"/>
  <c r="P43" i="8"/>
  <c r="P40" i="8"/>
  <c r="R42" i="8"/>
  <c r="R24" i="8"/>
  <c r="R44" i="8"/>
  <c r="S27" i="8" l="1"/>
  <c r="S42" i="8"/>
  <c r="S41" i="8"/>
  <c r="S44" i="8"/>
  <c r="S28" i="8"/>
  <c r="S45" i="8"/>
  <c r="S24" i="8"/>
  <c r="S40" i="8"/>
  <c r="S43" i="8"/>
  <c r="S25" i="8"/>
  <c r="X61" i="8"/>
  <c r="W61" i="8"/>
  <c r="O61" i="8"/>
  <c r="U61" i="8"/>
  <c r="P61" i="8"/>
  <c r="R61" i="8"/>
  <c r="M61" i="8" a="1"/>
  <c r="M61" i="8" s="1"/>
  <c r="T61" i="8"/>
  <c r="S61" i="8"/>
  <c r="V61" i="8"/>
  <c r="N61" i="8" a="1"/>
  <c r="N61" i="8" s="1"/>
  <c r="Q61" i="8"/>
  <c r="U34" i="8"/>
  <c r="U26" i="8"/>
  <c r="U48" i="8"/>
  <c r="U45" i="8"/>
  <c r="U27" i="8"/>
  <c r="U49" i="8"/>
  <c r="U33" i="8"/>
  <c r="U30" i="8"/>
  <c r="U29" i="8"/>
  <c r="U32" i="8"/>
  <c r="U51" i="8"/>
  <c r="U43" i="8"/>
  <c r="U46" i="8"/>
  <c r="U31" i="8"/>
  <c r="U44" i="8"/>
  <c r="U24" i="8"/>
  <c r="U47" i="8"/>
  <c r="U50" i="8"/>
  <c r="U40" i="8"/>
  <c r="U52" i="8"/>
  <c r="U36" i="8"/>
  <c r="U35" i="8"/>
  <c r="U41" i="8"/>
  <c r="U28" i="8"/>
  <c r="U42" i="8"/>
  <c r="U25" i="8"/>
  <c r="W45" i="8" l="1"/>
  <c r="W29" i="8"/>
  <c r="W25" i="8"/>
  <c r="W30" i="8"/>
  <c r="W36" i="8"/>
  <c r="W27" i="8"/>
  <c r="W43" i="8"/>
  <c r="W49" i="8"/>
  <c r="W31" i="8"/>
  <c r="W44" i="8"/>
  <c r="W50" i="8"/>
  <c r="W32" i="8"/>
  <c r="W28" i="8"/>
  <c r="W52" i="8"/>
  <c r="W40" i="8"/>
  <c r="W34" i="8"/>
  <c r="W41" i="8"/>
  <c r="W46" i="8"/>
  <c r="W48" i="8"/>
  <c r="W35" i="8"/>
  <c r="W33" i="8"/>
  <c r="W26" i="8"/>
  <c r="W24" i="8"/>
  <c r="W42" i="8"/>
  <c r="W51" i="8"/>
  <c r="W47" i="8"/>
  <c r="X47" i="8" l="1"/>
  <c r="X51" i="8"/>
  <c r="X42" i="8"/>
  <c r="X24" i="8"/>
  <c r="X26" i="8"/>
  <c r="X33" i="8"/>
  <c r="X35" i="8"/>
  <c r="X48" i="8"/>
  <c r="X46" i="8"/>
  <c r="X41" i="8"/>
  <c r="X34" i="8"/>
  <c r="X40" i="8"/>
  <c r="X52" i="8"/>
  <c r="X28" i="8"/>
  <c r="X32" i="8"/>
  <c r="X50" i="8"/>
  <c r="X44" i="8"/>
  <c r="X31" i="8"/>
  <c r="X49" i="8"/>
  <c r="X43" i="8"/>
  <c r="X27" i="8"/>
  <c r="X36" i="8"/>
  <c r="X30" i="8"/>
  <c r="X25" i="8"/>
  <c r="X29" i="8"/>
  <c r="X45" i="8"/>
  <c r="M36" i="9" l="1" a="1"/>
  <c r="M36" i="9" s="1"/>
  <c r="AA52" i="8"/>
  <c r="Z44" i="8"/>
  <c r="Z41" i="8"/>
  <c r="Y46" i="8"/>
  <c r="Y41" i="8"/>
  <c r="AA45" i="8"/>
  <c r="Y43" i="8"/>
  <c r="Z24" i="8"/>
  <c r="AA41" i="8"/>
  <c r="Z46" i="8"/>
  <c r="AA48" i="8"/>
  <c r="Z34" i="8"/>
  <c r="I41" i="9" a="1"/>
  <c r="I41" i="9" s="1"/>
  <c r="Y53" i="8"/>
  <c r="Y35" i="8"/>
  <c r="AA33" i="8"/>
  <c r="Y44" i="8"/>
  <c r="Y49" i="8"/>
  <c r="Y27" i="8"/>
  <c r="Z27" i="8"/>
  <c r="Z53" i="8"/>
  <c r="Y47" i="8"/>
  <c r="Z45" i="8"/>
  <c r="M38" i="9" a="1"/>
  <c r="M38" i="9" s="1"/>
  <c r="Y34" i="8"/>
  <c r="Y51" i="8"/>
  <c r="Z25" i="8"/>
  <c r="AB25" i="8" s="1"/>
  <c r="Z37" i="8"/>
  <c r="Y52" i="8"/>
  <c r="I35" i="9" a="1"/>
  <c r="I35" i="9" s="1"/>
  <c r="Y50" i="8"/>
  <c r="Z43" i="8"/>
  <c r="Y33" i="8"/>
  <c r="AA36" i="8"/>
  <c r="Y31" i="8"/>
  <c r="AA25" i="8"/>
  <c r="AA27" i="8"/>
  <c r="Y30" i="8"/>
  <c r="AA50" i="8"/>
  <c r="Z47" i="8"/>
  <c r="AB47" i="8" s="1"/>
  <c r="AA30" i="8"/>
  <c r="Y26" i="8"/>
  <c r="AA32" i="8"/>
  <c r="Y42" i="8"/>
  <c r="AA29" i="8"/>
  <c r="Y36" i="8"/>
  <c r="AA47" i="8"/>
  <c r="Z26" i="8"/>
  <c r="AA51" i="8"/>
  <c r="AA42" i="8"/>
  <c r="I38" i="9" a="1"/>
  <c r="I38" i="9" s="1"/>
  <c r="AA28" i="8"/>
  <c r="Z42" i="8"/>
  <c r="AB42" i="8" s="1"/>
  <c r="Z40" i="8"/>
  <c r="AA53" i="8"/>
  <c r="M39" i="9" a="1"/>
  <c r="M39" i="9" s="1"/>
  <c r="Y32" i="8"/>
  <c r="Z48" i="8"/>
  <c r="AB48" i="8" s="1"/>
  <c r="Z52" i="8"/>
  <c r="AA37" i="8"/>
  <c r="Y40" i="8"/>
  <c r="Z33" i="8"/>
  <c r="AB33" i="8" s="1"/>
  <c r="Z30" i="8"/>
  <c r="Y24" i="8"/>
  <c r="M35" i="9" a="1"/>
  <c r="M35" i="9" s="1"/>
  <c r="Z51" i="8"/>
  <c r="AA40" i="8"/>
  <c r="M37" i="9" a="1"/>
  <c r="M37" i="9" s="1"/>
  <c r="Y29" i="8"/>
  <c r="Z50" i="8"/>
  <c r="AB50" i="8" s="1"/>
  <c r="Z32" i="8"/>
  <c r="AB32" i="8" s="1"/>
  <c r="Y28" i="8"/>
  <c r="AA26" i="8"/>
  <c r="Y39" i="8"/>
  <c r="Z36" i="8"/>
  <c r="AB36" i="8" s="1"/>
  <c r="AA34" i="8"/>
  <c r="Y48" i="8"/>
  <c r="Z49" i="8"/>
  <c r="AB49" i="8" s="1"/>
  <c r="M41" i="9" a="1"/>
  <c r="M41" i="9" s="1"/>
  <c r="AA46" i="8"/>
  <c r="AA44" i="8"/>
  <c r="Z28" i="8"/>
  <c r="AB28" i="8" s="1"/>
  <c r="Y45" i="8"/>
  <c r="AA49" i="8"/>
  <c r="Z31" i="8"/>
  <c r="Z35" i="8"/>
  <c r="I39" i="9" a="1"/>
  <c r="I39" i="9" s="1"/>
  <c r="AA31" i="8"/>
  <c r="AA24" i="8"/>
  <c r="Y37" i="8"/>
  <c r="AA43" i="8"/>
  <c r="Y25" i="8"/>
  <c r="I37" i="9" a="1"/>
  <c r="I37" i="9" s="1"/>
  <c r="I36" i="9" a="1"/>
  <c r="I36" i="9" s="1"/>
  <c r="AA35" i="8"/>
  <c r="Z29" i="8"/>
  <c r="AB29" i="8" s="1"/>
  <c r="AB45" i="8" l="1"/>
  <c r="AB30" i="8"/>
  <c r="AB35" i="8"/>
  <c r="AB52" i="8"/>
  <c r="AB41" i="8"/>
  <c r="AB51" i="8"/>
  <c r="H39" i="9" a="1"/>
  <c r="H39" i="9" s="1"/>
  <c r="AI33" i="8" s="1"/>
  <c r="AJ33" i="8"/>
  <c r="M40" i="9"/>
  <c r="D24" i="9"/>
  <c r="AQ35" i="8"/>
  <c r="AD53" i="8"/>
  <c r="AC53" i="8"/>
  <c r="AC47" i="8"/>
  <c r="AD47" i="8"/>
  <c r="AC50" i="8"/>
  <c r="AD50" i="8"/>
  <c r="AB40" i="8"/>
  <c r="AJ29" i="8"/>
  <c r="H35" i="9" a="1"/>
  <c r="H35" i="9" s="1"/>
  <c r="AI29" i="8" s="1"/>
  <c r="AD45" i="8"/>
  <c r="AC45" i="8"/>
  <c r="H37" i="9" a="1"/>
  <c r="H37" i="9" s="1"/>
  <c r="AI31" i="8" s="1"/>
  <c r="AJ31" i="8"/>
  <c r="AB31" i="8"/>
  <c r="AD29" i="8"/>
  <c r="AC29" i="8"/>
  <c r="AC27" i="8"/>
  <c r="AD27" i="8"/>
  <c r="AB53" i="8"/>
  <c r="D22" i="9"/>
  <c r="D23" i="9" s="1"/>
  <c r="I40" i="9"/>
  <c r="AJ35" i="8"/>
  <c r="AC35" i="8"/>
  <c r="AD35" i="8"/>
  <c r="AD49" i="8"/>
  <c r="AC49" i="8"/>
  <c r="AC34" i="8"/>
  <c r="AD34" i="8"/>
  <c r="L37" i="9" a="1"/>
  <c r="L37" i="9" s="1"/>
  <c r="AP31" i="8" s="1"/>
  <c r="AQ31" i="8"/>
  <c r="AD37" i="8"/>
  <c r="AC37" i="8"/>
  <c r="AC28" i="8"/>
  <c r="AD28" i="8"/>
  <c r="AD25" i="8"/>
  <c r="AC25" i="8"/>
  <c r="AB37" i="8"/>
  <c r="AB27" i="8"/>
  <c r="AB34" i="8"/>
  <c r="AD40" i="8"/>
  <c r="AC40" i="8"/>
  <c r="H38" i="9" a="1"/>
  <c r="H38" i="9" s="1"/>
  <c r="AI32" i="8" s="1"/>
  <c r="AJ32" i="8"/>
  <c r="AD32" i="8"/>
  <c r="AC32" i="8"/>
  <c r="AC48" i="8"/>
  <c r="AD48" i="8"/>
  <c r="H36" i="9" a="1"/>
  <c r="H36" i="9" s="1"/>
  <c r="AI30" i="8" s="1"/>
  <c r="AJ30" i="8"/>
  <c r="AC43" i="8"/>
  <c r="AD43" i="8"/>
  <c r="AC42" i="8"/>
  <c r="AD42" i="8"/>
  <c r="AC36" i="8"/>
  <c r="AD36" i="8"/>
  <c r="AB46" i="8"/>
  <c r="AB44" i="8"/>
  <c r="AC31" i="8"/>
  <c r="AD31" i="8"/>
  <c r="AD24" i="8"/>
  <c r="AC24" i="8"/>
  <c r="AC44" i="8"/>
  <c r="AD44" i="8"/>
  <c r="AC26" i="8"/>
  <c r="AD26" i="8"/>
  <c r="AQ29" i="8"/>
  <c r="L35" i="9" a="1"/>
  <c r="L35" i="9" s="1"/>
  <c r="AP29" i="8" s="1"/>
  <c r="AD51" i="8"/>
  <c r="AC51" i="8"/>
  <c r="AD30" i="8"/>
  <c r="AC30" i="8"/>
  <c r="AD41" i="8"/>
  <c r="AC41" i="8"/>
  <c r="AD52" i="8"/>
  <c r="AC52" i="8"/>
  <c r="AC46" i="8"/>
  <c r="AD46" i="8"/>
  <c r="L39" i="9" a="1"/>
  <c r="L39" i="9" s="1"/>
  <c r="AP33" i="8" s="1"/>
  <c r="AQ33" i="8"/>
  <c r="AB26" i="8"/>
  <c r="AB43" i="8"/>
  <c r="L38" i="9" a="1"/>
  <c r="L38" i="9" s="1"/>
  <c r="AP32" i="8" s="1"/>
  <c r="AQ32" i="8"/>
  <c r="AC33" i="8"/>
  <c r="AD33" i="8"/>
  <c r="AB24" i="8"/>
  <c r="L36" i="9" a="1"/>
  <c r="L36" i="9" s="1"/>
  <c r="AP30" i="8" s="1"/>
  <c r="AQ30" i="8"/>
  <c r="AQ34" i="8" l="1"/>
  <c r="L40" i="9"/>
  <c r="AP34" i="8" s="1"/>
  <c r="H40" i="9"/>
  <c r="AI34" i="8" s="1"/>
  <c r="AJ34"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<sst xmlns="http://schemas.openxmlformats.org/spreadsheetml/2006/main" count="504" uniqueCount="295">
  <si>
    <t>Settings</t>
  </si>
  <si>
    <t>General Settings</t>
  </si>
  <si>
    <t>Starting Year:</t>
  </si>
  <si>
    <t>Late Monthly Income</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</si>
  <si>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</si>
  <si>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</si>
  <si>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Start on day x in a month</t>
  </si>
  <si>
    <t>KPI Calculation In Dashboard</t>
  </si>
  <si>
    <t>Savings Rate as % of Income</t>
  </si>
  <si>
    <t>% allocated to Savings</t>
  </si>
  <si>
    <t>Zero Budget Planning</t>
  </si>
  <si>
    <t>To be allocated:</t>
  </si>
  <si>
    <t>Income</t>
  </si>
  <si>
    <t>Salary</t>
  </si>
  <si>
    <t>Gigs</t>
  </si>
  <si>
    <t>Enter Income category</t>
  </si>
  <si>
    <t>Total</t>
  </si>
  <si>
    <t>Expenditure</t>
  </si>
  <si>
    <t>Rent</t>
  </si>
  <si>
    <t>Food</t>
  </si>
  <si>
    <t>Groceries</t>
  </si>
  <si>
    <t>Debt payment</t>
  </si>
  <si>
    <t>NHIF</t>
  </si>
  <si>
    <t>Electricity</t>
  </si>
  <si>
    <t>School Fees</t>
  </si>
  <si>
    <t>Utilities</t>
  </si>
  <si>
    <t>Clothes</t>
  </si>
  <si>
    <t>Snacks</t>
  </si>
  <si>
    <t>Airtime</t>
  </si>
  <si>
    <t>Gifts &amp; Donations</t>
  </si>
  <si>
    <t>Tithe</t>
  </si>
  <si>
    <t>Enter Expense category</t>
  </si>
  <si>
    <t>Savings</t>
  </si>
  <si>
    <t>Emergency Fund</t>
  </si>
  <si>
    <t>Retirement</t>
  </si>
  <si>
    <t>Sinking Down Payment</t>
  </si>
  <si>
    <t>Sinking Fund Rest</t>
  </si>
  <si>
    <t>Enter Savings category</t>
  </si>
  <si>
    <t>Budget Tracking</t>
  </si>
  <si>
    <t>Date</t>
  </si>
  <si>
    <t>Type</t>
  </si>
  <si>
    <t>Category</t>
  </si>
  <si>
    <t>Amount</t>
  </si>
  <si>
    <t>Details</t>
  </si>
  <si>
    <t>Balance</t>
  </si>
  <si>
    <t>Effective Date</t>
  </si>
  <si>
    <t>Budget Tracking Data Entry Form</t>
  </si>
  <si>
    <t>Date :</t>
  </si>
  <si>
    <t>Type :</t>
  </si>
  <si>
    <t>Categoty:</t>
  </si>
  <si>
    <t>Amount :</t>
  </si>
  <si>
    <t>Details  :</t>
  </si>
  <si>
    <t xml:space="preserve"> </t>
  </si>
  <si>
    <t>Year</t>
  </si>
  <si>
    <t>Select year to be displayed ➜</t>
  </si>
  <si>
    <t>Current Year</t>
  </si>
  <si>
    <t>Period</t>
  </si>
  <si>
    <t>Select the Period to be displayed ➜</t>
  </si>
  <si>
    <t>Current Month</t>
  </si>
  <si>
    <t>row_id</t>
  </si>
  <si>
    <t>header_row_id</t>
  </si>
  <si>
    <t>is_header</t>
  </si>
  <si>
    <t>is_category</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</si>
  <si>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</si>
  <si>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</si>
  <si>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</si>
  <si>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</si>
  <si>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</si>
  <si>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</si>
  <si>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</si>
  <si>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</si>
  <si>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</si>
  <si>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</si>
  <si>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</si>
  <si>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</si>
  <si>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</si>
  <si>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</si>
  <si>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</si>
  <si>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</si>
  <si>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</si>
  <si>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sorted_row_id[look-up]</t>
  </si>
  <si>
    <t>Examples of  Income Categories</t>
  </si>
  <si>
    <t>Examples of Savings Categories</t>
  </si>
  <si>
    <t>Description</t>
  </si>
  <si>
    <t>Retirement Savings</t>
  </si>
  <si>
    <t>Investment Savings</t>
  </si>
  <si>
    <t>Short-Term Goals</t>
  </si>
  <si>
    <t>Long-Term Goals</t>
  </si>
  <si>
    <t>Education Fund</t>
  </si>
  <si>
    <t>Health Savings</t>
  </si>
  <si>
    <t>Major Purchases</t>
  </si>
  <si>
    <t>Vacation Fund</t>
  </si>
  <si>
    <t>Home Improvement</t>
  </si>
  <si>
    <t>Miscellaneous Savings</t>
  </si>
  <si>
    <t>Salary/Wages</t>
  </si>
  <si>
    <t>Regular earnings from employment.</t>
  </si>
  <si>
    <t>Examples</t>
  </si>
  <si>
    <t>Savings for unexpected expenses, like medical bills or car repairs</t>
  </si>
  <si>
    <t>Contributions to 401(k), IRA, Pension plans</t>
  </si>
  <si>
    <t>Money saved for stocks, bonds, mutual funds</t>
  </si>
  <si>
    <t>Savings for near-future expenses like weddings or buying a car</t>
  </si>
  <si>
    <t>Savings for long-term plans such as buying a house or early retirement</t>
  </si>
  <si>
    <t>Savings for children's college tuition</t>
  </si>
  <si>
    <t>Contributions to Health Savings Accounts (HSAs)</t>
  </si>
  <si>
    <t>Saving up for big-ticket items like appliances or electronics</t>
  </si>
  <si>
    <t>Saving for vacations and travel</t>
  </si>
  <si>
    <t>Funds for renovating or upgrading your home</t>
  </si>
  <si>
    <t>Any other miscellaneous savings goals</t>
  </si>
  <si>
    <t>Bonus</t>
  </si>
  <si>
    <t>Additional income from work, such as performance bonuses or incentives.</t>
  </si>
  <si>
    <t>Fund set aside to cover unexpected or emergency expenses</t>
  </si>
  <si>
    <t>Savings for retirement to ensure financial security in old age</t>
  </si>
  <si>
    <t>Funds allocated for investments to grow wealth</t>
  </si>
  <si>
    <t>Money saved for short-term financial goals</t>
  </si>
  <si>
    <t>Money set aside for achieving long-term financial objectives</t>
  </si>
  <si>
    <t>Savings to cover future educational expenses</t>
  </si>
  <si>
    <t>Money saved specifically for health-related expenses</t>
  </si>
  <si>
    <t>Funds for planned significant purchases</t>
  </si>
  <si>
    <t>Savings earmarked for leisure travel</t>
  </si>
  <si>
    <t>Savings allocated for home renovation projects</t>
  </si>
  <si>
    <t>Savings for any other personal financial goals</t>
  </si>
  <si>
    <t>Freelance/Contract Work</t>
  </si>
  <si>
    <t>Earnings from freelance or contract-based projects.</t>
  </si>
  <si>
    <t>Business Income</t>
  </si>
  <si>
    <t>Revenue from owning a business or side hustle.</t>
  </si>
  <si>
    <t>Examples of Expenses categories</t>
  </si>
  <si>
    <t>Investments</t>
  </si>
  <si>
    <t>Income from investments, such as dividends, interest, or capital gains.</t>
  </si>
  <si>
    <t>Housing</t>
  </si>
  <si>
    <t>Transportation</t>
  </si>
  <si>
    <t>Food &amp; Groceries</t>
  </si>
  <si>
    <t>Insurance</t>
  </si>
  <si>
    <t>Healthcare</t>
  </si>
  <si>
    <t>Debt Payments</t>
  </si>
  <si>
    <t>Entertainment</t>
  </si>
  <si>
    <t>Education</t>
  </si>
  <si>
    <t>Personal Care</t>
  </si>
  <si>
    <t>Miscellaneous</t>
  </si>
  <si>
    <t>Pets</t>
  </si>
  <si>
    <t>Gifts&amp;Donations</t>
  </si>
  <si>
    <t>LEGAL</t>
  </si>
  <si>
    <t>Rental Income</t>
  </si>
  <si>
    <t>Earnings from renting out property or assets.</t>
  </si>
  <si>
    <t>Costs related to living arrangements</t>
  </si>
  <si>
    <t>Costs for essential services for home</t>
  </si>
  <si>
    <t>Expenses for commuting and travel</t>
  </si>
  <si>
    <t>Costs for food and dining</t>
  </si>
  <si>
    <t>Payments for various insurance policies</t>
  </si>
  <si>
    <t>Medical-related expenses</t>
  </si>
  <si>
    <t>Payments to reduce debt obligations</t>
  </si>
  <si>
    <t>Costs for leisure activities</t>
  </si>
  <si>
    <t>Expenses related to education and learning</t>
  </si>
  <si>
    <t>Expenses for personal hygiene and appearance</t>
  </si>
  <si>
    <t>Other unclassified expenses</t>
  </si>
  <si>
    <t>Charity 1</t>
  </si>
  <si>
    <t>Attorney</t>
  </si>
  <si>
    <t>Pensions</t>
  </si>
  <si>
    <t>Regular payments received from retirement plans or pensions.</t>
  </si>
  <si>
    <t>Bus/taxi fare</t>
  </si>
  <si>
    <t>Health Insurance</t>
  </si>
  <si>
    <t>Doctor Visits</t>
  </si>
  <si>
    <t>Credit Card Payments</t>
  </si>
  <si>
    <t>Movies</t>
  </si>
  <si>
    <t>Tuition</t>
  </si>
  <si>
    <t>Haircuts</t>
  </si>
  <si>
    <t>Gifts</t>
  </si>
  <si>
    <t>Medical</t>
  </si>
  <si>
    <t>Charity 2</t>
  </si>
  <si>
    <t>Alimony</t>
  </si>
  <si>
    <t>Social Security</t>
  </si>
  <si>
    <t>Government-provided social security benefits.</t>
  </si>
  <si>
    <t xml:space="preserve"> Mortgage</t>
  </si>
  <si>
    <t>Water and sewer</t>
  </si>
  <si>
    <t xml:space="preserve"> Fuel</t>
  </si>
  <si>
    <t>Dining Out</t>
  </si>
  <si>
    <t>Car Insurance</t>
  </si>
  <si>
    <t>Medications</t>
  </si>
  <si>
    <t>Loan Repayments</t>
  </si>
  <si>
    <t>Concerts</t>
  </si>
  <si>
    <t>Books</t>
  </si>
  <si>
    <t>Toiletries</t>
  </si>
  <si>
    <t>Donations</t>
  </si>
  <si>
    <t>Grooming</t>
  </si>
  <si>
    <t>Charity 3</t>
  </si>
  <si>
    <t>Alimony/Child Support</t>
  </si>
  <si>
    <t>Payments received from alimony or child support agreements.</t>
  </si>
  <si>
    <t xml:space="preserve"> Property Taxes</t>
  </si>
  <si>
    <t xml:space="preserve"> Gas</t>
  </si>
  <si>
    <t xml:space="preserve"> Car Maintenance</t>
  </si>
  <si>
    <t>Home Insurance</t>
  </si>
  <si>
    <t>Health Supplies</t>
  </si>
  <si>
    <t>Mortgage Payments</t>
  </si>
  <si>
    <t>Hobbies</t>
  </si>
  <si>
    <t>School Supplies</t>
  </si>
  <si>
    <t>Clothing</t>
  </si>
  <si>
    <t>Subscriptions</t>
  </si>
  <si>
    <t>Toys</t>
  </si>
  <si>
    <t>Royalties</t>
  </si>
  <si>
    <t>Income from intellectual property, such as books, music, patents, or trademarks.</t>
  </si>
  <si>
    <t xml:space="preserve"> Home Repairs</t>
  </si>
  <si>
    <t xml:space="preserve"> Internet</t>
  </si>
  <si>
    <t xml:space="preserve"> Parking Fees</t>
  </si>
  <si>
    <t>fast food deliveries</t>
  </si>
  <si>
    <t>Health</t>
  </si>
  <si>
    <t>Personal</t>
  </si>
  <si>
    <t>Streaming Services</t>
  </si>
  <si>
    <t>Online Courses</t>
  </si>
  <si>
    <t>Hair/nails</t>
  </si>
  <si>
    <t>Money received as gifts from family or friends.</t>
  </si>
  <si>
    <t>Supplies</t>
  </si>
  <si>
    <t xml:space="preserve"> Phone</t>
  </si>
  <si>
    <t>Vehicle payment</t>
  </si>
  <si>
    <t>Student</t>
  </si>
  <si>
    <t>Sporting events</t>
  </si>
  <si>
    <t>Grants</t>
  </si>
  <si>
    <t>Financial aid received from grants, often for specific purposes or projects.</t>
  </si>
  <si>
    <t>Waste removal</t>
  </si>
  <si>
    <t>Licensing</t>
  </si>
  <si>
    <t>Credit card</t>
  </si>
  <si>
    <t>Live theater</t>
  </si>
  <si>
    <t>Dry cleaning</t>
  </si>
  <si>
    <t>Stipends</t>
  </si>
  <si>
    <t>Fixed, regular payments received, often for living expenses or educational purposes.</t>
  </si>
  <si>
    <t>Health club</t>
  </si>
  <si>
    <t>Lottery/Gambling Winnings</t>
  </si>
  <si>
    <t>Earnings from lotteries or gambling.</t>
  </si>
  <si>
    <t>Organisation fees</t>
  </si>
  <si>
    <t>Any other forms of income that don't fit into the above categories.</t>
  </si>
  <si>
    <t>Calculations</t>
  </si>
  <si>
    <t>Worksheet: Budget Tracking</t>
  </si>
  <si>
    <t>Today</t>
  </si>
  <si>
    <t>Last Record</t>
  </si>
  <si>
    <t>Number of Days</t>
  </si>
  <si>
    <t>Number of Records</t>
  </si>
  <si>
    <t>Current year's Number of Records</t>
  </si>
  <si>
    <t>Tracking Balance</t>
  </si>
  <si>
    <t>Balance Analysis</t>
  </si>
  <si>
    <t>Worksheet: Budget Dashboard</t>
  </si>
  <si>
    <t>Selected Year</t>
  </si>
  <si>
    <t>Selected Period</t>
  </si>
  <si>
    <t xml:space="preserve">Selected Period Display: </t>
  </si>
  <si>
    <t>Days in Period:</t>
  </si>
  <si>
    <t>Days Passed in Period:</t>
  </si>
  <si>
    <t>Days Passed in Period %:</t>
  </si>
  <si>
    <t>Period Tracking Balance</t>
  </si>
  <si>
    <t>Period Savings Rate</t>
  </si>
  <si>
    <t>Expense</t>
  </si>
  <si>
    <t xml:space="preserve">Show Income: </t>
  </si>
  <si>
    <t>Show Expenditure:</t>
  </si>
  <si>
    <t>Show Savings:</t>
  </si>
  <si>
    <t>Show Rem. Budget:</t>
  </si>
  <si>
    <t>Period in Focus</t>
  </si>
  <si>
    <t>Period Not in Focus</t>
  </si>
  <si>
    <t>Month</t>
  </si>
  <si>
    <t>Month Numb.</t>
  </si>
  <si>
    <t>In Focus</t>
  </si>
  <si>
    <t xml:space="preserve">Show Type </t>
  </si>
  <si>
    <t>Show Rem. Budget</t>
  </si>
  <si>
    <t>Tracked</t>
  </si>
  <si>
    <t>Budget</t>
  </si>
  <si>
    <t>Delta</t>
  </si>
  <si>
    <t>In Budget</t>
  </si>
  <si>
    <t>Remaining</t>
  </si>
  <si>
    <t>Excess</t>
  </si>
  <si>
    <t>Dropdown Data</t>
  </si>
  <si>
    <t>Year Dropdown</t>
  </si>
  <si>
    <t>Period Dropdown</t>
  </si>
  <si>
    <t>Total Year</t>
  </si>
  <si>
    <t>Budget Dashboard</t>
  </si>
  <si>
    <t>Active</t>
  </si>
  <si>
    <t>To use the form below make sure you enable the macros and unblock the file if blocked</t>
  </si>
  <si>
    <r>
      <t xml:space="preserve">Set starting Year in the Settings </t>
    </r>
    <r>
      <rPr>
        <b/>
        <sz val="12"/>
        <color rgb="FFD10878"/>
        <rFont val="Avenir Next LT Pro"/>
        <family val="2"/>
      </rPr>
      <t>→</t>
    </r>
  </si>
  <si>
    <t>Resources</t>
  </si>
  <si>
    <t>Salon</t>
  </si>
  <si>
    <t>Cooking Fuel</t>
  </si>
  <si>
    <r>
      <rPr>
        <b/>
        <i/>
        <sz val="16"/>
        <color theme="8" tint="-0.249977111117893"/>
        <rFont val="Arial Nova Light"/>
        <family val="2"/>
      </rPr>
      <t>←</t>
    </r>
    <r>
      <rPr>
        <b/>
        <i/>
        <sz val="10"/>
        <color theme="8" tint="-0.249977111117893"/>
        <rFont val="Arial Nova Light"/>
        <family val="2"/>
      </rPr>
      <t>Remember to set the starting year here and</t>
    </r>
    <r>
      <rPr>
        <b/>
        <i/>
        <sz val="9"/>
        <color rgb="FFFF0000"/>
        <rFont val="Arial Nova Light"/>
        <family val="2"/>
      </rPr>
      <t xml:space="preserve"> DO NOT CHANGE IT IN ANY OTHER SHEET. </t>
    </r>
  </si>
  <si>
    <r>
      <rPr>
        <b/>
        <sz val="12"/>
        <color rgb="FF020079"/>
        <rFont val="Avenir Next LT Pro"/>
        <family val="2"/>
      </rPr>
      <t>Chart Calculations:</t>
    </r>
    <r>
      <rPr>
        <sz val="12"/>
        <color rgb="FF020079"/>
        <rFont val="Avenir Next LT Pro"/>
        <family val="2"/>
      </rPr>
      <t xml:space="preserve"> Categories Distribution Charts</t>
    </r>
  </si>
  <si>
    <r>
      <rPr>
        <b/>
        <sz val="12"/>
        <color rgb="FF020079"/>
        <rFont val="Avenir Next LT Pro"/>
        <family val="2"/>
      </rPr>
      <t>Chart Calculations:</t>
    </r>
    <r>
      <rPr>
        <sz val="12"/>
        <color rgb="FF020079"/>
        <rFont val="Avenir Next LT Pro"/>
        <family val="2"/>
      </rPr>
      <t xml:space="preserve"> Tracked Vs Budget Chart</t>
    </r>
  </si>
  <si>
    <t>Historical Dashboard</t>
  </si>
  <si>
    <t>Pivot Tables</t>
  </si>
  <si>
    <t>Sum of Amount</t>
  </si>
  <si>
    <t>Column Labels</t>
  </si>
  <si>
    <t>Row Labels</t>
  </si>
  <si>
    <t>Grand Total</t>
  </si>
  <si>
    <t>Google Adscence</t>
  </si>
  <si>
    <t>Shopify Store</t>
  </si>
  <si>
    <t>personal care</t>
  </si>
  <si>
    <t>Transpoartation</t>
  </si>
  <si>
    <t>paycheck</t>
  </si>
  <si>
    <t>Retirement Fund</t>
  </si>
  <si>
    <t>Nssf</t>
  </si>
  <si>
    <t>to Mombasa</t>
  </si>
  <si>
    <t>Global year Setting</t>
  </si>
  <si>
    <t xml:space="preserve">Choose how you want the savings rate (SR) in the dashboard KPI tiles:
1. Active Option (% allocated to savings):                       SR = Savings/Income
2. Inactive Option (% not allocated to Expenses):            SR = (Income - Expenditure)/Income
</t>
  </si>
  <si>
    <t>When you click ADD BUTTON a new row will be added at the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</si>
</sst>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1" formatCode="_-* #,##0_-;\-* #,##0_-;_-* &quot;-&quot;_-;_-@_-"/>
    <numFmt numFmtId="43" formatCode="_-* #,##0.00_-;\-* #,##0.00_-;_-* &quot;-&quot;??_-;_-@_-"/>
    <numFmt numFmtId="164" formatCode="_(* #,##0_);_(* \(#,##0\);_(* &quot;-&quot;_);_(@_)"/>
    <numFmt numFmtId="165" formatCode="mmm"/>
    <numFmt numFmtId="166" formatCode="_-* #,##0_-;\-* #,##0_-;_-* &quot;-&quot;??_-;_-@_-"/>
    <numFmt numFmtId="167" formatCode="mmmm"/>
    <numFmt numFmtId="168" formatCode="0.0%"/>
    <numFmt numFmtId="169" formatCode="d\-mmm\-yy"/>
  </numFmts>
  <fonts count="48" x14ac:knownFonts="1">
    <font>
      <sz val="11"/>
      <color theme="1"/>
      <name val="Aptos Narrow"/>
      <family val="2"/>
      <scheme val="minor"/>
    </font>
    <font>
      <sz val="12"/>
      <color theme="1"/>
      <name val="Arial Nova Light"/>
      <family val="2"/>
    </font>
    <font>
      <b/>
      <sz val="12"/>
      <color theme="1"/>
      <name val="Arial Nova Light"/>
      <family val="2"/>
    </font>
    <font>
      <u/>
      <sz val="11"/>
      <color theme="10"/>
      <name val="Aptos Narrow"/>
      <family val="2"/>
      <scheme val="minor"/>
    </font>
    <font>
      <sz val="11"/>
      <color theme="1"/>
      <name val="Aptos Narrow"/>
      <family val="2"/>
      <scheme val="minor"/>
    </font>
    <font>
      <sz val="8"/>
      <name val="Aptos Narrow"/>
      <family val="2"/>
      <scheme val="minor"/>
    </font>
    <font>
      <sz val="8"/>
      <color rgb="FF000000"/>
      <name val="Segoe UI"/>
      <family val="2"/>
    </font>
    <font>
      <b/>
      <sz val="28"/>
      <color theme="0"/>
      <name val="Avenir Next LT Pro"/>
      <family val="2"/>
    </font>
    <font>
      <sz val="11"/>
      <color theme="1"/>
      <name val="Avenir Next LT Pro"/>
      <family val="2"/>
    </font>
    <font>
      <sz val="10"/>
      <color theme="0" tint="-0.499984740745262"/>
      <name val="Avenir Next LT Pro"/>
      <family val="2"/>
    </font>
    <font>
      <b/>
      <sz val="11"/>
      <color theme="0"/>
      <name val="Avenir Next LT Pro"/>
      <family val="2"/>
    </font>
    <font>
      <b/>
      <sz val="10"/>
      <color theme="1"/>
      <name val="Avenir Next LT Pro"/>
      <family val="2"/>
    </font>
    <font>
      <sz val="10"/>
      <color theme="1"/>
      <name val="Avenir Next LT Pro"/>
      <family val="2"/>
    </font>
    <font>
      <sz val="9"/>
      <color theme="1"/>
      <name val="Avenir Next LT Pro"/>
      <family val="2"/>
    </font>
    <font>
      <b/>
      <sz val="9"/>
      <color theme="1"/>
      <name val="Avenir Next LT Pro"/>
      <family val="2"/>
    </font>
    <font>
      <b/>
      <sz val="10"/>
      <color theme="0"/>
      <name val="Avenir Next LT Pro"/>
      <family val="2"/>
    </font>
    <font>
      <b/>
      <sz val="11"/>
      <color theme="1"/>
      <name val="Avenir Next LT Pro"/>
      <family val="2"/>
    </font>
    <font>
      <sz val="11"/>
      <color theme="1"/>
      <name val="Avenir Next LT Pro Demi"/>
      <family val="2"/>
    </font>
    <font>
      <b/>
      <sz val="11"/>
      <color theme="0"/>
      <name val="Avenir Next LT Pro Demi"/>
      <family val="2"/>
    </font>
    <font>
      <sz val="10"/>
      <color theme="1"/>
      <name val="Avenir Next LT Pro Demi"/>
      <family val="2"/>
    </font>
    <font>
      <b/>
      <sz val="10"/>
      <color theme="0"/>
      <name val="Avenir Next LT Pro Demi"/>
      <family val="2"/>
    </font>
    <font>
      <b/>
      <sz val="12"/>
      <color theme="1"/>
      <name val="Avenir Next LT Pro"/>
      <family val="2"/>
    </font>
    <font>
      <b/>
      <sz val="12"/>
      <color theme="1" tint="4.9989318521683403E-2"/>
      <name val="Avenir Next LT Pro"/>
      <family val="2"/>
    </font>
    <font>
      <sz val="12"/>
      <color theme="1"/>
      <name val="Avenir Next LT Pro"/>
      <family val="2"/>
    </font>
    <font>
      <b/>
      <sz val="12"/>
      <color theme="0"/>
      <name val="Avenir Next LT Pro"/>
      <family val="2"/>
    </font>
    <font>
      <sz val="11"/>
      <color theme="0" tint="-0.499984740745262"/>
      <name val="Avenir Next LT Pro"/>
      <family val="2"/>
    </font>
    <font>
      <sz val="11"/>
      <color theme="0" tint="-0.14999847407452621"/>
      <name val="Avenir Next LT Pro"/>
      <family val="2"/>
    </font>
    <font>
      <u/>
      <sz val="11"/>
      <color theme="10"/>
      <name val="Avenir Next LT Pro"/>
      <family val="2"/>
    </font>
    <font>
      <sz val="12"/>
      <color rgb="FF000000"/>
      <name val="Avenir Next LT Pro"/>
      <family val="2"/>
    </font>
    <font>
      <b/>
      <sz val="11"/>
      <name val="Avenir Next LT Pro"/>
      <family val="2"/>
    </font>
    <font>
      <sz val="10.5"/>
      <color theme="1"/>
      <name val="Avenir Next LT Pro"/>
      <family val="2"/>
    </font>
    <font>
      <b/>
      <sz val="9"/>
      <color theme="0"/>
      <name val="Avenir Next LT Pro"/>
      <family val="2"/>
    </font>
    <font>
      <b/>
      <sz val="11"/>
      <color rgb="FF002060"/>
      <name val="Avenir Next LT Pro"/>
      <family val="2"/>
    </font>
    <font>
      <b/>
      <sz val="12"/>
      <color rgb="FFD10878"/>
      <name val="Avenir Next LT Pro"/>
      <family val="2"/>
    </font>
    <font>
      <sz val="11"/>
      <color theme="0" tint="-0.34998626667073579"/>
      <name val="Avenir Next LT Pro"/>
      <family val="2"/>
    </font>
    <font>
      <sz val="9"/>
      <color theme="0" tint="-0.34998626667073579"/>
      <name val="Avenir Next LT Pro"/>
      <family val="2"/>
    </font>
    <font>
      <sz val="10"/>
      <color theme="0" tint="-0.34998626667073579"/>
      <name val="Avenir Next LT Pro"/>
      <family val="2"/>
    </font>
    <font>
      <b/>
      <i/>
      <sz val="16"/>
      <color theme="8" tint="-0.249977111117893"/>
      <name val="Arial Nova Light"/>
      <family val="2"/>
    </font>
    <font>
      <b/>
      <i/>
      <sz val="10"/>
      <color theme="8" tint="-0.249977111117893"/>
      <name val="Arial Nova Light"/>
      <family val="2"/>
    </font>
    <font>
      <b/>
      <sz val="12"/>
      <color theme="8" tint="-0.249977111117893"/>
      <name val="Arial Nova Light"/>
      <family val="2"/>
    </font>
    <font>
      <b/>
      <i/>
      <sz val="9"/>
      <color rgb="FFFF0000"/>
      <name val="Arial Nova Light"/>
      <family val="2"/>
    </font>
    <font>
      <b/>
      <sz val="13"/>
      <color rgb="FF002060"/>
      <name val="Arial Nova Light"/>
      <family val="2"/>
    </font>
    <font>
      <b/>
      <sz val="14"/>
      <color theme="0"/>
      <name val="Arial Nova Light"/>
      <family val="2"/>
    </font>
    <font>
      <sz val="12"/>
      <color rgb="FF020079"/>
      <name val="Avenir Next LT Pro"/>
      <family val="2"/>
    </font>
    <font>
      <b/>
      <sz val="12"/>
      <color rgb="FF020079"/>
      <name val="Avenir Next LT Pro"/>
      <family val="2"/>
    </font>
    <font>
      <b/>
      <sz val="12"/>
      <color theme="8" tint="-0.499984740745262"/>
      <name val="Arial Nova Light"/>
      <family val="2"/>
    </font>
    <font>
      <sz val="10"/>
      <color theme="1" tint="4.9989318521683403E-2"/>
      <name val="Avenir Next LT Pro"/>
      <family val="2"/>
    </font>
    <font>
      <sz val="11"/>
      <color theme="3" tint="0.249977111117893"/>
      <name val="Avenir Next LT Pro"/>
      <family val="2"/>
    </font>
  </fonts>
  <fills count="13">
    <fill>
      <patternFill patternType="none"/>
    </fill>
    <fill>
      <patternFill patternType="gray125"/>
    </fill>
    <fill>
      <patternFill patternType="solid">
        <fgColor rgb="FF00B050"/>
        <bgColor indexed="64"/>
      </patternFill>
    </fill>
    <fill>
      <patternFill patternType="solid">
        <fgColor rgb="FF08D161"/>
        <bgColor indexed="64"/>
      </patternFill>
    </fill>
    <fill>
      <patternFill patternType="solid">
        <fgColor rgb="FFD10878"/>
        <bgColor indexed="64"/>
      </patternFill>
    </fill>
    <fill>
      <patternFill patternType="solid">
        <fgColor rgb="FFD19108"/>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rgb="FFEEE7ED"/>
        <bgColor indexed="64"/>
      </patternFill>
    </fill>
    <fill>
      <patternFill patternType="solid">
        <fgColor theme="8" tint="0.79998168889431442"/>
        <bgColor indexed="64"/>
      </patternFill>
    </fill>
  </fills>
  <borders count="64">
    <border>
      <left/>
      <right/>
      <top/>
      <bottom/>
      <diagonal/>
    </border>
    <border>
      <left style="thin">
        <color rgb="FF00B050"/>
      </left>
      <right style="thin">
        <color rgb="FF00B050"/>
      </right>
      <top style="thin">
        <color rgb="FF00B050"/>
      </top>
      <bottom style="thin">
        <color rgb="FF00B05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style="thin">
        <color rgb="FF83E8B0"/>
      </top>
      <bottom/>
      <diagonal/>
    </border>
    <border>
      <left style="thin">
        <color rgb="FF83E8B0"/>
      </left>
      <right/>
      <top/>
      <bottom/>
      <diagonal/>
    </border>
    <border>
      <left style="thin">
        <color rgb="FFD10878"/>
      </left>
      <right style="thin">
        <color rgb="FFD10878"/>
      </right>
      <top style="thin">
        <color rgb="FFD10878"/>
      </top>
      <bottom style="thin">
        <color rgb="FFD10878"/>
      </bottom>
      <diagonal/>
    </border>
    <border>
      <left style="thin">
        <color rgb="FFD19108"/>
      </left>
      <right style="thin">
        <color rgb="FFD19108"/>
      </right>
      <top style="thin">
        <color rgb="FFD19108"/>
      </top>
      <bottom style="thin">
        <color rgb="FFD19108"/>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E883BB"/>
      </left>
      <right style="thin">
        <color rgb="FFE883BB"/>
      </right>
      <top style="thin">
        <color rgb="FFE883BB"/>
      </top>
      <bottom style="thin">
        <color rgb="FFE883BB"/>
      </bottom>
      <diagonal/>
    </border>
    <border>
      <left style="thin">
        <color rgb="FFE8C883"/>
      </left>
      <right style="thin">
        <color rgb="FFE8C883"/>
      </right>
      <top style="thin">
        <color rgb="FFE8C883"/>
      </top>
      <bottom style="thin">
        <color rgb="FFE8C883"/>
      </bottom>
      <diagonal/>
    </border>
    <border>
      <left style="thin">
        <color rgb="FFE8C883"/>
      </left>
      <right/>
      <top style="thin">
        <color rgb="FFE8C883"/>
      </top>
      <bottom/>
      <diagonal/>
    </border>
    <border>
      <left style="thin">
        <color rgb="FFE8C883"/>
      </left>
      <right style="thin">
        <color rgb="FFE8C883"/>
      </right>
      <top style="thin">
        <color rgb="FFE8C883"/>
      </top>
      <bottom/>
      <diagonal/>
    </border>
    <border>
      <left style="thin">
        <color rgb="FFE8C883"/>
      </left>
      <right/>
      <top style="thin">
        <color rgb="FFE8C883"/>
      </top>
      <bottom style="thin">
        <color rgb="FFE8C883"/>
      </bottom>
      <diagonal/>
    </border>
    <border>
      <left style="thin">
        <color rgb="FF83E8B0"/>
      </left>
      <right/>
      <top style="thin">
        <color rgb="FF83E8B0"/>
      </top>
      <bottom style="thin">
        <color rgb="FF83E8B0"/>
      </bottom>
      <diagonal/>
    </border>
    <border>
      <left/>
      <right style="thin">
        <color rgb="FF83E8B0"/>
      </right>
      <top style="thin">
        <color rgb="FF83E8B0"/>
      </top>
      <bottom style="thin">
        <color rgb="FF83E8B0"/>
      </bottom>
      <diagonal/>
    </border>
    <border>
      <left/>
      <right/>
      <top style="thin">
        <color rgb="FFE8C883"/>
      </top>
      <bottom style="thin">
        <color rgb="FFE8C883"/>
      </bottom>
      <diagonal/>
    </border>
    <border>
      <left style="thin">
        <color rgb="FFE883BB"/>
      </left>
      <right/>
      <top style="thin">
        <color rgb="FFE883BB"/>
      </top>
      <bottom style="thin">
        <color rgb="FFE883BB"/>
      </bottom>
      <diagonal/>
    </border>
    <border>
      <left/>
      <right/>
      <top style="thin">
        <color rgb="FFE883BB"/>
      </top>
      <bottom style="thin">
        <color rgb="FFE883BB"/>
      </bottom>
      <diagonal/>
    </border>
    <border>
      <left/>
      <right style="thin">
        <color rgb="FFE883BB"/>
      </right>
      <top style="thin">
        <color rgb="FFE883BB"/>
      </top>
      <bottom style="thin">
        <color rgb="FFE883BB"/>
      </bottom>
      <diagonal/>
    </border>
    <border>
      <left style="thin">
        <color rgb="FFE883BB"/>
      </left>
      <right/>
      <top style="thin">
        <color rgb="FFE883BB"/>
      </top>
      <bottom/>
      <diagonal/>
    </border>
    <border>
      <left style="thin">
        <color rgb="FFE883BB"/>
      </left>
      <right style="thin">
        <color rgb="FFE883BB"/>
      </right>
      <top style="thin">
        <color rgb="FFE883BB"/>
      </top>
      <bottom/>
      <diagonal/>
    </border>
    <border>
      <left style="thin">
        <color rgb="FF83E8B0"/>
      </left>
      <right style="thin">
        <color rgb="FF83E8B0"/>
      </right>
      <top style="thin">
        <color rgb="FF83E8B0"/>
      </top>
      <bottom style="thin">
        <color rgb="FF83E8B0"/>
      </bottom>
      <diagonal/>
    </border>
    <border>
      <left style="thin">
        <color rgb="FF83E8B0"/>
      </left>
      <right/>
      <top style="thin">
        <color rgb="FF83E8B0"/>
      </top>
      <bottom/>
      <diagonal/>
    </border>
    <border>
      <left style="thin">
        <color rgb="FF83E8B0"/>
      </left>
      <right style="thin">
        <color rgb="FF83E8B0"/>
      </right>
      <top style="thin">
        <color rgb="FF83E8B0"/>
      </top>
      <bottom/>
      <diagonal/>
    </border>
    <border>
      <left/>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bottom style="thin">
        <color indexed="64"/>
      </bottom>
      <diagonal/>
    </border>
    <border>
      <left/>
      <right/>
      <top style="dotted">
        <color indexed="64"/>
      </top>
      <bottom style="double">
        <color indexed="64"/>
      </bottom>
      <diagonal/>
    </border>
    <border>
      <left/>
      <right/>
      <top style="thin">
        <color indexed="64"/>
      </top>
      <bottom/>
      <diagonal/>
    </border>
    <border>
      <left/>
      <right/>
      <top style="thin">
        <color theme="0" tint="-0.499984740745262"/>
      </top>
      <bottom style="medium">
        <color theme="0" tint="-0.499984740745262"/>
      </bottom>
      <diagonal/>
    </border>
    <border>
      <left/>
      <right/>
      <top style="medium">
        <color theme="0" tint="-0.499984740745262"/>
      </top>
      <bottom/>
      <diagonal/>
    </border>
    <border>
      <left/>
      <right/>
      <top style="thin">
        <color auto="1"/>
      </top>
      <bottom style="medium">
        <color auto="1"/>
      </bottom>
      <diagonal/>
    </border>
    <border>
      <left/>
      <right style="thin">
        <color theme="8" tint="-0.24994659260841701"/>
      </right>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24994659260841701"/>
      </left>
      <right/>
      <top/>
      <bottom/>
      <diagonal/>
    </border>
    <border>
      <left style="medium">
        <color theme="8" tint="-0.24994659260841701"/>
      </left>
      <right/>
      <top/>
      <bottom style="medium">
        <color theme="8" tint="-0.24994659260841701"/>
      </bottom>
      <diagonal/>
    </border>
    <border>
      <left/>
      <right/>
      <top/>
      <bottom style="medium">
        <color theme="8" tint="-0.24994659260841701"/>
      </bottom>
      <diagonal/>
    </border>
    <border>
      <left style="thick">
        <color theme="8" tint="-0.24994659260841701"/>
      </left>
      <right/>
      <top style="thick">
        <color theme="8" tint="-0.24994659260841701"/>
      </top>
      <bottom/>
      <diagonal/>
    </border>
    <border>
      <left/>
      <right/>
      <top style="thick">
        <color theme="8" tint="-0.24994659260841701"/>
      </top>
      <bottom/>
      <diagonal/>
    </border>
    <border>
      <left/>
      <right style="thick">
        <color theme="8" tint="-0.24994659260841701"/>
      </right>
      <top style="thick">
        <color theme="8" tint="-0.24994659260841701"/>
      </top>
      <bottom/>
      <diagonal/>
    </border>
    <border>
      <left style="thick">
        <color theme="8" tint="-0.24994659260841701"/>
      </left>
      <right/>
      <top/>
      <bottom/>
      <diagonal/>
    </border>
    <border>
      <left/>
      <right style="thick">
        <color theme="8" tint="-0.24994659260841701"/>
      </right>
      <top/>
      <bottom/>
      <diagonal/>
    </border>
    <border>
      <left style="thick">
        <color theme="8" tint="-0.24994659260841701"/>
      </left>
      <right/>
      <top/>
      <bottom style="thick">
        <color theme="8" tint="-0.24994659260841701"/>
      </bottom>
      <diagonal/>
    </border>
    <border>
      <left/>
      <right/>
      <top/>
      <bottom style="thick">
        <color theme="8" tint="-0.24994659260841701"/>
      </bottom>
      <diagonal/>
    </border>
    <border>
      <left/>
      <right style="thick">
        <color theme="8" tint="-0.24994659260841701"/>
      </right>
      <top/>
      <bottom style="thick">
        <color theme="8" tint="-0.24994659260841701"/>
      </bottom>
      <diagonal/>
    </border>
    <border>
      <left style="thick">
        <color theme="8" tint="-0.24994659260841701"/>
      </left>
      <right/>
      <top/>
      <bottom style="thin">
        <color theme="8" tint="0.79998168889431442"/>
      </bottom>
      <diagonal/>
    </border>
    <border>
      <left/>
      <right/>
      <top/>
      <bottom style="thin">
        <color theme="8" tint="0.79998168889431442"/>
      </bottom>
      <diagonal/>
    </border>
    <border>
      <left/>
      <right style="thick">
        <color theme="8" tint="-0.24994659260841701"/>
      </right>
      <top/>
      <bottom style="thin">
        <color theme="8" tint="0.79998168889431442"/>
      </bottom>
      <diagonal/>
    </border>
    <border>
      <left/>
      <right/>
      <top style="thin">
        <color theme="8" tint="0.79998168889431442"/>
      </top>
      <bottom/>
      <diagonal/>
    </border>
    <border>
      <left/>
      <right style="medium">
        <color theme="8" tint="-0.24994659260841701"/>
      </right>
      <top/>
      <bottom/>
      <diagonal/>
    </border>
    <border>
      <left/>
      <right style="medium">
        <color theme="8" tint="-0.24994659260841701"/>
      </right>
      <top/>
      <bottom style="medium">
        <color theme="8" tint="-0.24994659260841701"/>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ck">
        <color rgb="FFDDD0DB"/>
      </left>
      <right style="thick">
        <color rgb="FFDDD0DB"/>
      </right>
      <top style="thick">
        <color rgb="FFDDD0DB"/>
      </top>
      <bottom style="thick">
        <color rgb="FFDDD0DB"/>
      </bottom>
      <diagonal/>
    </border>
  </borders>
  <cellStyleXfs count="4">
    <xf numFmtId="0" fontId="0" fillId="0" borderId="0"/>
    <xf numFmtId="0" fontId="3" fillId="0" borderId="0" applyNumberFormat="0" applyFill="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14">
    <xf numFmtId="0" fontId="0" fillId="0" borderId="0" xfId="0"/>
    <xf numFmtId="0" fontId="1" fillId="0" borderId="0" xfId="0" applyFont="1"/>
    <xf numFmtId="0" fontId="7" fillId="9" borderId="0" xfId="0" applyFont="1" applyFill="1" applyAlignment="1">
      <alignment vertical="center"/>
    </xf>
    <xf numFmtId="0" fontId="8" fillId="0" borderId="0" xfId="0" applyFont="1"/>
    <xf numFmtId="0" fontId="8" fillId="0" borderId="0" xfId="0" applyFont="1" applyAlignment="1">
      <alignment horizontal="left" vertical="center"/>
    </xf>
    <xf numFmtId="0" fontId="8" fillId="0" borderId="0" xfId="0" applyFont="1" applyAlignment="1">
      <alignment horizontal="left"/>
    </xf>
    <xf numFmtId="0" fontId="17" fillId="0" borderId="0" xfId="0" applyFont="1"/>
    <xf numFmtId="0" fontId="17" fillId="0" borderId="0" xfId="0" applyFont="1" applyAlignment="1">
      <alignment horizontal="center"/>
    </xf>
    <xf numFmtId="165" fontId="20" fillId="4" borderId="0" xfId="0" applyNumberFormat="1" applyFont="1" applyFill="1" applyAlignment="1">
      <alignment horizontal="center" vertical="center"/>
    </xf>
    <xf numFmtId="0" fontId="20" fillId="4" borderId="0" xfId="0" applyFont="1" applyFill="1" applyAlignment="1">
      <alignment horizontal="center" vertical="center"/>
    </xf>
    <xf numFmtId="165" fontId="20" fillId="5" borderId="0" xfId="0" applyNumberFormat="1" applyFont="1" applyFill="1" applyAlignment="1">
      <alignment horizontal="center" vertical="center"/>
    </xf>
    <xf numFmtId="0" fontId="20" fillId="5" borderId="0" xfId="0" applyFont="1" applyFill="1" applyAlignment="1">
      <alignment horizontal="center" vertical="center"/>
    </xf>
    <xf numFmtId="15" fontId="8" fillId="0" borderId="0" xfId="0" applyNumberFormat="1" applyFont="1"/>
    <xf numFmtId="166" fontId="9" fillId="0" borderId="0" xfId="2" applyNumberFormat="1" applyFont="1" applyAlignment="1">
      <alignment horizontal="left" vertical="center" indent="2"/>
    </xf>
    <xf numFmtId="15" fontId="21" fillId="0" borderId="0" xfId="0" applyNumberFormat="1" applyFont="1" applyAlignment="1">
      <alignment horizontal="left" vertical="center" indent="2"/>
    </xf>
    <xf numFmtId="0" fontId="21" fillId="0" borderId="0" xfId="0" applyFont="1" applyAlignment="1">
      <alignment horizontal="left" vertical="center" indent="2"/>
    </xf>
    <xf numFmtId="0" fontId="22" fillId="8" borderId="0" xfId="0" applyFont="1" applyFill="1" applyAlignment="1">
      <alignment horizontal="center" vertical="center"/>
    </xf>
    <xf numFmtId="0" fontId="22" fillId="8" borderId="0" xfId="0" applyFont="1" applyFill="1" applyAlignment="1">
      <alignment horizontal="left" vertical="center"/>
    </xf>
    <xf numFmtId="0" fontId="23" fillId="0" borderId="0" xfId="0" applyFont="1"/>
    <xf numFmtId="15" fontId="8" fillId="0" borderId="0" xfId="0" applyNumberFormat="1" applyFont="1" applyAlignment="1">
      <alignment horizontal="left" vertical="center" indent="2"/>
    </xf>
    <xf numFmtId="0" fontId="8" fillId="0" borderId="0" xfId="0" applyFont="1" applyAlignment="1">
      <alignment horizontal="left" vertical="center" indent="2"/>
    </xf>
    <xf numFmtId="166" fontId="12" fillId="0" borderId="0" xfId="2" applyNumberFormat="1" applyFont="1" applyAlignment="1">
      <alignment horizontal="left" vertical="center" indent="2"/>
    </xf>
    <xf numFmtId="0" fontId="25" fillId="0" borderId="0" xfId="0" applyFont="1" applyAlignment="1">
      <alignment horizontal="left" vertical="center" indent="2"/>
    </xf>
    <xf numFmtId="166" fontId="9" fillId="0" borderId="0" xfId="2" applyNumberFormat="1" applyFont="1" applyBorder="1" applyAlignment="1">
      <alignment horizontal="left" vertical="center" indent="2"/>
    </xf>
    <xf numFmtId="0" fontId="8" fillId="0" borderId="0" xfId="0" applyFont="1" applyAlignment="1">
      <alignment horizontal="left" vertical="center" indent="1"/>
    </xf>
    <xf numFmtId="0" fontId="10" fillId="6" borderId="45" xfId="0" applyFont="1" applyFill="1" applyBorder="1"/>
    <xf numFmtId="0" fontId="28" fillId="0" borderId="0" xfId="0" applyFont="1"/>
    <xf numFmtId="169" fontId="26" fillId="0" borderId="0" xfId="0" applyNumberFormat="1" applyFont="1" applyAlignment="1">
      <alignment horizontal="left" vertical="center" indent="2"/>
    </xf>
    <xf numFmtId="0" fontId="10" fillId="6" borderId="46" xfId="0" applyFont="1" applyFill="1" applyBorder="1"/>
    <xf numFmtId="0" fontId="10" fillId="6" borderId="47" xfId="0" applyFont="1" applyFill="1" applyBorder="1" applyAlignment="1">
      <alignment horizontal="center" vertical="center"/>
    </xf>
    <xf numFmtId="0" fontId="21" fillId="6" borderId="47" xfId="0" applyFont="1" applyFill="1" applyBorder="1" applyAlignment="1">
      <alignment horizontal="left" vertical="center"/>
    </xf>
    <xf numFmtId="0" fontId="29" fillId="6" borderId="47" xfId="0" applyFont="1" applyFill="1" applyBorder="1" applyAlignment="1">
      <alignment horizontal="center" vertical="center"/>
    </xf>
    <xf numFmtId="0" fontId="10" fillId="6" borderId="47" xfId="0" applyFont="1" applyFill="1" applyBorder="1"/>
    <xf numFmtId="0" fontId="8" fillId="0" borderId="0" xfId="0" applyFont="1" applyAlignment="1">
      <alignment horizontal="right" vertical="center"/>
    </xf>
    <xf numFmtId="0" fontId="8" fillId="0" borderId="0" xfId="0" applyFont="1" applyAlignment="1">
      <alignment horizontal="center" vertical="center"/>
    </xf>
    <xf numFmtId="166" fontId="8" fillId="0" borderId="0" xfId="2" applyNumberFormat="1" applyFont="1" applyAlignment="1">
      <alignment horizontal="center"/>
    </xf>
    <xf numFmtId="9" fontId="8" fillId="0" borderId="0" xfId="3" applyFont="1"/>
    <xf numFmtId="0" fontId="8" fillId="10" borderId="0" xfId="0" applyFont="1" applyFill="1"/>
    <xf numFmtId="0" fontId="8" fillId="7" borderId="29" xfId="0" applyFont="1" applyFill="1" applyBorder="1"/>
    <xf numFmtId="0" fontId="8" fillId="7" borderId="28" xfId="0" applyFont="1" applyFill="1" applyBorder="1"/>
    <xf numFmtId="0" fontId="8" fillId="7" borderId="0" xfId="0" applyFont="1" applyFill="1"/>
    <xf numFmtId="0" fontId="8" fillId="7" borderId="30" xfId="0" applyFont="1" applyFill="1" applyBorder="1"/>
    <xf numFmtId="0" fontId="8" fillId="0" borderId="29" xfId="0" applyFont="1" applyBorder="1"/>
    <xf numFmtId="0" fontId="8" fillId="0" borderId="28" xfId="0" applyFont="1" applyBorder="1"/>
    <xf numFmtId="3" fontId="8" fillId="0" borderId="0" xfId="0" applyNumberFormat="1" applyFont="1"/>
    <xf numFmtId="3" fontId="8" fillId="0" borderId="28" xfId="0" quotePrefix="1" applyNumberFormat="1" applyFont="1" applyBorder="1"/>
    <xf numFmtId="0" fontId="8" fillId="0" borderId="30" xfId="0" applyFont="1" applyBorder="1"/>
    <xf numFmtId="0" fontId="30" fillId="0" borderId="0" xfId="0" applyFont="1" applyAlignment="1">
      <alignment vertical="center"/>
    </xf>
    <xf numFmtId="166" fontId="30" fillId="0" borderId="0" xfId="2" applyNumberFormat="1" applyFont="1" applyAlignment="1">
      <alignment horizontal="center" vertical="center"/>
    </xf>
    <xf numFmtId="9" fontId="30" fillId="0" borderId="0" xfId="3" applyFont="1" applyAlignment="1">
      <alignment horizontal="center" vertical="center"/>
    </xf>
    <xf numFmtId="0" fontId="8" fillId="0" borderId="32" xfId="0" applyFont="1" applyBorder="1"/>
    <xf numFmtId="0" fontId="8" fillId="0" borderId="31" xfId="0" applyFont="1" applyBorder="1"/>
    <xf numFmtId="0" fontId="8" fillId="0" borderId="33" xfId="0" applyFont="1" applyBorder="1"/>
    <xf numFmtId="0" fontId="13" fillId="0" borderId="0" xfId="0" applyFont="1" applyAlignment="1">
      <alignment horizontal="left" vertical="center" indent="1"/>
    </xf>
    <xf numFmtId="166" fontId="13" fillId="0" borderId="0" xfId="2" applyNumberFormat="1" applyFont="1" applyAlignment="1">
      <alignment vertical="center"/>
    </xf>
    <xf numFmtId="0" fontId="14" fillId="0" borderId="39" xfId="0" applyFont="1" applyBorder="1" applyAlignment="1">
      <alignment horizontal="left" vertical="center" indent="1"/>
    </xf>
    <xf numFmtId="166" fontId="14" fillId="0" borderId="39" xfId="2" applyNumberFormat="1" applyFont="1" applyBorder="1" applyAlignment="1">
      <alignment vertical="center"/>
    </xf>
    <xf numFmtId="0" fontId="8" fillId="0" borderId="34" xfId="0" applyFont="1" applyBorder="1"/>
    <xf numFmtId="0" fontId="8" fillId="0" borderId="35" xfId="0" applyFont="1" applyBorder="1"/>
    <xf numFmtId="0" fontId="8" fillId="0" borderId="36" xfId="0" applyFont="1" applyBorder="1"/>
    <xf numFmtId="0" fontId="13" fillId="0" borderId="0" xfId="0" applyFont="1" applyAlignment="1">
      <alignment horizontal="left" vertical="center"/>
    </xf>
    <xf numFmtId="0" fontId="31" fillId="3" borderId="23" xfId="0" applyFont="1" applyFill="1" applyBorder="1" applyAlignment="1">
      <alignment horizontal="left" vertical="center" wrapText="1"/>
    </xf>
    <xf numFmtId="0" fontId="31" fillId="3" borderId="24" xfId="0" applyFont="1" applyFill="1" applyBorder="1" applyAlignment="1">
      <alignment horizontal="left" vertical="center" wrapText="1"/>
    </xf>
    <xf numFmtId="0" fontId="31" fillId="5" borderId="11" xfId="0" applyFont="1" applyFill="1" applyBorder="1" applyAlignment="1">
      <alignment horizontal="left" vertical="center"/>
    </xf>
    <xf numFmtId="0" fontId="31" fillId="5" borderId="12" xfId="0" applyFont="1" applyFill="1" applyBorder="1" applyAlignment="1">
      <alignment horizontal="left" vertical="center"/>
    </xf>
    <xf numFmtId="0" fontId="13" fillId="0" borderId="23" xfId="0" applyFont="1" applyBorder="1" applyAlignment="1">
      <alignment horizontal="left" vertical="center" wrapText="1"/>
    </xf>
    <xf numFmtId="0" fontId="13" fillId="0" borderId="24" xfId="0" applyFont="1" applyBorder="1" applyAlignment="1">
      <alignment horizontal="left" vertical="center" wrapText="1"/>
    </xf>
    <xf numFmtId="0" fontId="13" fillId="0" borderId="11" xfId="0" applyFont="1" applyBorder="1" applyAlignment="1">
      <alignment horizontal="left" vertical="center"/>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13" fillId="0" borderId="10" xfId="0" applyFont="1" applyBorder="1" applyAlignment="1">
      <alignment horizontal="left" vertical="center"/>
    </xf>
    <xf numFmtId="0" fontId="13" fillId="0" borderId="0" xfId="0" applyFont="1" applyAlignment="1">
      <alignment horizontal="left" vertical="center" wrapText="1"/>
    </xf>
    <xf numFmtId="0" fontId="31" fillId="4" borderId="20" xfId="0" applyFont="1" applyFill="1" applyBorder="1" applyAlignment="1">
      <alignment horizontal="left" vertical="center" wrapText="1"/>
    </xf>
    <xf numFmtId="0" fontId="31" fillId="4" borderId="21" xfId="0" applyFont="1" applyFill="1" applyBorder="1" applyAlignment="1">
      <alignment horizontal="left" vertical="center" wrapText="1"/>
    </xf>
    <xf numFmtId="0" fontId="13" fillId="0" borderId="20" xfId="0" applyFont="1" applyBorder="1" applyAlignment="1">
      <alignment horizontal="left" vertical="center" wrapText="1"/>
    </xf>
    <xf numFmtId="0" fontId="13" fillId="0" borderId="21" xfId="0" applyFont="1" applyBorder="1" applyAlignment="1">
      <alignment horizontal="left" vertical="center" wrapText="1"/>
    </xf>
    <xf numFmtId="0" fontId="13" fillId="0" borderId="17" xfId="0" applyFont="1" applyBorder="1" applyAlignment="1">
      <alignment horizontal="left" vertical="center" wrapText="1"/>
    </xf>
    <xf numFmtId="0" fontId="13" fillId="0" borderId="9" xfId="0" applyFont="1" applyBorder="1" applyAlignment="1">
      <alignment horizontal="left" vertical="center" wrapText="1"/>
    </xf>
    <xf numFmtId="0" fontId="13" fillId="0" borderId="14" xfId="0" applyFont="1" applyBorder="1" applyAlignment="1">
      <alignment horizontal="left" vertical="center" wrapText="1"/>
    </xf>
    <xf numFmtId="0" fontId="13" fillId="0" borderId="22" xfId="0" applyFont="1" applyBorder="1" applyAlignment="1">
      <alignment horizontal="left" vertical="center" wrapText="1"/>
    </xf>
    <xf numFmtId="0" fontId="16" fillId="0" borderId="0" xfId="0" applyFont="1" applyAlignment="1">
      <alignment horizontal="left" vertical="center"/>
    </xf>
    <xf numFmtId="15" fontId="8" fillId="0" borderId="0" xfId="0" applyNumberFormat="1" applyFont="1" applyAlignment="1">
      <alignment horizontal="right" vertical="center"/>
    </xf>
    <xf numFmtId="166" fontId="8" fillId="0" borderId="0" xfId="2" applyNumberFormat="1" applyFont="1" applyAlignment="1">
      <alignment horizontal="right" vertical="center"/>
    </xf>
    <xf numFmtId="0" fontId="16" fillId="0" borderId="25" xfId="0" applyFont="1" applyBorder="1"/>
    <xf numFmtId="0" fontId="8" fillId="0" borderId="25" xfId="0" applyFont="1" applyBorder="1" applyAlignment="1">
      <alignment horizontal="right" vertical="center"/>
    </xf>
    <xf numFmtId="9" fontId="8" fillId="0" borderId="0" xfId="3" applyFont="1" applyAlignment="1">
      <alignment horizontal="right" vertical="center"/>
    </xf>
    <xf numFmtId="168" fontId="8" fillId="0" borderId="0" xfId="3" applyNumberFormat="1" applyFont="1"/>
    <xf numFmtId="0" fontId="16" fillId="0" borderId="37" xfId="0" applyFont="1" applyBorder="1" applyAlignment="1">
      <alignment horizontal="center" vertical="center"/>
    </xf>
    <xf numFmtId="41" fontId="8" fillId="0" borderId="0" xfId="0" applyNumberFormat="1" applyFont="1" applyAlignment="1">
      <alignment horizontal="center" vertical="center"/>
    </xf>
    <xf numFmtId="0" fontId="8" fillId="0" borderId="38" xfId="0" applyFont="1" applyBorder="1" applyAlignment="1">
      <alignment horizontal="center" vertical="center"/>
    </xf>
    <xf numFmtId="41" fontId="8" fillId="0" borderId="38" xfId="0" applyNumberFormat="1" applyFont="1" applyBorder="1" applyAlignment="1">
      <alignment horizontal="center" vertical="center"/>
    </xf>
    <xf numFmtId="0" fontId="16" fillId="0" borderId="0" xfId="0" applyFont="1" applyAlignment="1">
      <alignment horizontal="center" vertical="center"/>
    </xf>
    <xf numFmtId="41" fontId="16" fillId="0" borderId="0" xfId="0" applyNumberFormat="1" applyFont="1" applyAlignment="1">
      <alignment horizontal="center" vertical="center"/>
    </xf>
    <xf numFmtId="0" fontId="11" fillId="0" borderId="0" xfId="0" applyFont="1"/>
    <xf numFmtId="0" fontId="16" fillId="0" borderId="42" xfId="0" applyFont="1" applyBorder="1" applyAlignment="1">
      <alignment horizontal="center"/>
    </xf>
    <xf numFmtId="166" fontId="8" fillId="0" borderId="0" xfId="2" applyNumberFormat="1" applyFont="1" applyBorder="1" applyAlignment="1">
      <alignment horizontal="center" vertical="center"/>
    </xf>
    <xf numFmtId="0" fontId="8" fillId="0" borderId="35" xfId="0" applyFont="1" applyBorder="1" applyAlignment="1">
      <alignment horizontal="center" vertical="center"/>
    </xf>
    <xf numFmtId="166" fontId="8" fillId="0" borderId="35" xfId="2" applyNumberFormat="1" applyFont="1" applyBorder="1" applyAlignment="1">
      <alignment horizontal="center" vertical="center"/>
    </xf>
    <xf numFmtId="0" fontId="8" fillId="0" borderId="41" xfId="0" applyFont="1" applyBorder="1" applyAlignment="1">
      <alignment horizontal="center" vertical="center"/>
    </xf>
    <xf numFmtId="0" fontId="17" fillId="0" borderId="0" xfId="0" applyFont="1" applyAlignment="1">
      <alignment horizontal="center" vertical="center"/>
    </xf>
    <xf numFmtId="0" fontId="18" fillId="10" borderId="44" xfId="0" applyFont="1" applyFill="1" applyBorder="1" applyAlignment="1">
      <alignment horizontal="center" vertical="center"/>
    </xf>
    <xf numFmtId="0" fontId="19" fillId="0" borderId="27" xfId="0" applyFont="1" applyBorder="1" applyAlignment="1">
      <alignment horizontal="center"/>
    </xf>
    <xf numFmtId="167" fontId="19" fillId="0" borderId="27" xfId="0" applyNumberFormat="1" applyFont="1" applyBorder="1" applyAlignment="1">
      <alignment horizontal="center"/>
    </xf>
    <xf numFmtId="0" fontId="19" fillId="0" borderId="26" xfId="0" applyFont="1" applyBorder="1" applyAlignment="1">
      <alignment horizontal="center"/>
    </xf>
    <xf numFmtId="167" fontId="19" fillId="0" borderId="26" xfId="0" applyNumberFormat="1" applyFont="1" applyBorder="1" applyAlignment="1">
      <alignment horizontal="center"/>
    </xf>
    <xf numFmtId="0" fontId="9" fillId="0" borderId="8" xfId="0" applyFont="1" applyBorder="1" applyAlignment="1">
      <alignment horizontal="center" vertical="center"/>
    </xf>
    <xf numFmtId="0" fontId="9" fillId="0" borderId="0" xfId="0" applyFont="1" applyAlignment="1">
      <alignment vertical="center" wrapText="1"/>
    </xf>
    <xf numFmtId="0" fontId="12" fillId="0" borderId="8" xfId="0" applyFont="1" applyBorder="1" applyAlignment="1">
      <alignment vertical="center" wrapText="1"/>
    </xf>
    <xf numFmtId="166" fontId="8" fillId="0" borderId="0" xfId="2" applyNumberFormat="1" applyFont="1"/>
    <xf numFmtId="166" fontId="34" fillId="0" borderId="0" xfId="2" applyNumberFormat="1" applyFont="1" applyAlignment="1">
      <alignment horizontal="left"/>
    </xf>
    <xf numFmtId="166" fontId="35" fillId="0" borderId="2" xfId="2" applyNumberFormat="1" applyFont="1" applyBorder="1"/>
    <xf numFmtId="166" fontId="36" fillId="0" borderId="0" xfId="2" applyNumberFormat="1" applyFont="1" applyAlignment="1">
      <alignment horizontal="left" indent="1"/>
    </xf>
    <xf numFmtId="166" fontId="35" fillId="0" borderId="3" xfId="2" applyNumberFormat="1" applyFont="1" applyBorder="1"/>
    <xf numFmtId="166" fontId="16" fillId="0" borderId="1" xfId="2" applyNumberFormat="1" applyFont="1" applyBorder="1" applyAlignment="1">
      <alignment horizontal="center"/>
    </xf>
    <xf numFmtId="166" fontId="8" fillId="0" borderId="5" xfId="2" applyNumberFormat="1" applyFont="1" applyBorder="1"/>
    <xf numFmtId="166" fontId="13" fillId="0" borderId="1" xfId="2" applyNumberFormat="1" applyFont="1" applyBorder="1"/>
    <xf numFmtId="166" fontId="8" fillId="0" borderId="4" xfId="2" applyNumberFormat="1" applyFont="1" applyBorder="1" applyAlignment="1">
      <alignment horizontal="left"/>
    </xf>
    <xf numFmtId="166" fontId="36" fillId="0" borderId="0" xfId="2" applyNumberFormat="1" applyFont="1" applyAlignment="1">
      <alignment horizontal="left"/>
    </xf>
    <xf numFmtId="166" fontId="16" fillId="0" borderId="6" xfId="2" applyNumberFormat="1" applyFont="1" applyBorder="1" applyAlignment="1">
      <alignment horizontal="center"/>
    </xf>
    <xf numFmtId="166" fontId="13" fillId="0" borderId="6" xfId="2" applyNumberFormat="1" applyFont="1" applyBorder="1"/>
    <xf numFmtId="166" fontId="16" fillId="0" borderId="7" xfId="2" applyNumberFormat="1" applyFont="1" applyBorder="1" applyAlignment="1">
      <alignment horizontal="center"/>
    </xf>
    <xf numFmtId="166" fontId="13" fillId="0" borderId="7" xfId="2" applyNumberFormat="1" applyFont="1" applyBorder="1"/>
    <xf numFmtId="0" fontId="8" fillId="2" borderId="0" xfId="0" applyFont="1" applyFill="1" applyAlignment="1">
      <alignment horizontal="center"/>
    </xf>
    <xf numFmtId="165" fontId="15" fillId="2" borderId="0" xfId="0" applyNumberFormat="1" applyFont="1" applyFill="1" applyAlignment="1">
      <alignment horizontal="center" vertical="center"/>
    </xf>
    <xf numFmtId="0" fontId="15" fillId="2" borderId="0" xfId="0" applyFont="1" applyFill="1" applyAlignment="1">
      <alignment horizontal="center" vertical="center"/>
    </xf>
    <xf numFmtId="0" fontId="11" fillId="0" borderId="44" xfId="0" applyFont="1" applyBorder="1" applyAlignment="1">
      <alignment horizontal="center" vertical="center"/>
    </xf>
    <xf numFmtId="164" fontId="14" fillId="0" borderId="44" xfId="0" applyNumberFormat="1" applyFont="1" applyBorder="1"/>
    <xf numFmtId="0" fontId="25" fillId="0" borderId="0" xfId="0" quotePrefix="1" applyFont="1" applyAlignment="1">
      <alignment horizontal="left" vertical="center" indent="2"/>
    </xf>
    <xf numFmtId="0" fontId="7" fillId="9" borderId="0" xfId="0" applyFont="1" applyFill="1" applyAlignment="1">
      <alignment vertical="center" wrapText="1"/>
    </xf>
    <xf numFmtId="0" fontId="2" fillId="11" borderId="0" xfId="0" applyFont="1" applyFill="1" applyAlignment="1">
      <alignment horizontal="center" vertical="center"/>
    </xf>
    <xf numFmtId="0" fontId="2" fillId="0" borderId="0" xfId="0" applyFont="1"/>
    <xf numFmtId="0" fontId="38" fillId="0" borderId="0" xfId="0" applyFont="1" applyAlignment="1">
      <alignment horizontal="left" vertical="center"/>
    </xf>
    <xf numFmtId="0" fontId="1" fillId="0" borderId="51" xfId="0" applyFont="1" applyBorder="1"/>
    <xf numFmtId="0" fontId="1" fillId="0" borderId="52" xfId="0" applyFont="1" applyBorder="1"/>
    <xf numFmtId="0" fontId="39" fillId="0" borderId="51" xfId="0" applyFont="1" applyBorder="1" applyAlignment="1">
      <alignment horizontal="left" indent="2"/>
    </xf>
    <xf numFmtId="0" fontId="1" fillId="0" borderId="53" xfId="0" applyFont="1" applyBorder="1"/>
    <xf numFmtId="0" fontId="1" fillId="0" borderId="54" xfId="0" applyFont="1" applyBorder="1"/>
    <xf numFmtId="0" fontId="1" fillId="0" borderId="55" xfId="0" applyFont="1" applyBorder="1"/>
    <xf numFmtId="0" fontId="1" fillId="0" borderId="57" xfId="0" applyFont="1" applyBorder="1"/>
    <xf numFmtId="0" fontId="38" fillId="0" borderId="57" xfId="0" applyFont="1" applyBorder="1" applyAlignment="1">
      <alignment vertical="center" wrapText="1"/>
    </xf>
    <xf numFmtId="0" fontId="1" fillId="0" borderId="58" xfId="0" applyFont="1" applyBorder="1"/>
    <xf numFmtId="0" fontId="41" fillId="0" borderId="56" xfId="0" applyFont="1" applyBorder="1" applyAlignment="1">
      <alignment horizontal="left" indent="2"/>
    </xf>
    <xf numFmtId="0" fontId="10" fillId="6" borderId="0" xfId="0" applyFont="1" applyFill="1" applyAlignment="1">
      <alignment horizontal="center" vertical="center"/>
    </xf>
    <xf numFmtId="0" fontId="10" fillId="6" borderId="0" xfId="0" applyFont="1" applyFill="1" applyAlignment="1">
      <alignment horizontal="right" vertical="center"/>
    </xf>
    <xf numFmtId="0" fontId="10" fillId="6" borderId="0" xfId="0" applyFont="1" applyFill="1"/>
    <xf numFmtId="0" fontId="10" fillId="6" borderId="60" xfId="0" applyFont="1" applyFill="1" applyBorder="1"/>
    <xf numFmtId="0" fontId="16" fillId="6" borderId="0" xfId="0" applyFont="1" applyFill="1" applyAlignment="1">
      <alignment horizontal="left" vertical="center"/>
    </xf>
    <xf numFmtId="0" fontId="27" fillId="6" borderId="60" xfId="1" applyFont="1" applyFill="1" applyBorder="1"/>
    <xf numFmtId="0" fontId="21" fillId="6" borderId="0" xfId="0" applyFont="1" applyFill="1" applyAlignment="1">
      <alignment horizontal="left" vertical="center"/>
    </xf>
    <xf numFmtId="0" fontId="10" fillId="6" borderId="61" xfId="0" applyFont="1" applyFill="1" applyBorder="1"/>
    <xf numFmtId="0" fontId="24" fillId="6" borderId="0" xfId="0" applyFont="1" applyFill="1" applyAlignment="1">
      <alignment horizontal="right" vertical="center" indent="1"/>
    </xf>
    <xf numFmtId="0" fontId="8" fillId="0" borderId="45" xfId="0" applyFont="1" applyBorder="1"/>
    <xf numFmtId="0" fontId="8" fillId="0" borderId="60" xfId="0" applyFont="1" applyBorder="1"/>
    <xf numFmtId="0" fontId="8" fillId="0" borderId="46" xfId="0" applyFont="1" applyBorder="1"/>
    <xf numFmtId="0" fontId="8" fillId="0" borderId="47" xfId="0" applyFont="1" applyBorder="1" applyAlignment="1">
      <alignment horizontal="center" vertical="center"/>
    </xf>
    <xf numFmtId="0" fontId="8" fillId="0" borderId="47" xfId="0" applyFont="1" applyBorder="1" applyAlignment="1">
      <alignment horizontal="right" vertical="center"/>
    </xf>
    <xf numFmtId="0" fontId="8" fillId="0" borderId="47" xfId="0" applyFont="1" applyBorder="1"/>
    <xf numFmtId="0" fontId="8" fillId="0" borderId="61" xfId="0" applyFont="1" applyBorder="1"/>
    <xf numFmtId="166" fontId="13" fillId="0" borderId="0" xfId="2" applyNumberFormat="1" applyFont="1" applyBorder="1" applyAlignment="1">
      <alignment vertical="center"/>
    </xf>
    <xf numFmtId="0" fontId="16" fillId="0" borderId="0" xfId="0" applyFont="1" applyAlignment="1">
      <alignment horizontal="center"/>
    </xf>
    <xf numFmtId="0" fontId="43" fillId="0" borderId="40" xfId="0" applyFont="1" applyBorder="1"/>
    <xf numFmtId="0" fontId="23" fillId="0" borderId="40" xfId="0" applyFont="1" applyBorder="1"/>
    <xf numFmtId="0" fontId="23" fillId="10" borderId="45" xfId="0" applyFont="1" applyFill="1" applyBorder="1"/>
    <xf numFmtId="0" fontId="23" fillId="10" borderId="0" xfId="0" applyFont="1" applyFill="1" applyAlignment="1">
      <alignment horizontal="center" vertical="center"/>
    </xf>
    <xf numFmtId="0" fontId="23" fillId="10" borderId="0" xfId="0" applyFont="1" applyFill="1"/>
    <xf numFmtId="0" fontId="23" fillId="10" borderId="60" xfId="0" applyFont="1" applyFill="1" applyBorder="1"/>
    <xf numFmtId="0" fontId="2" fillId="0" borderId="0" xfId="0" applyFont="1" applyAlignment="1">
      <alignment horizontal="center" vertical="center"/>
    </xf>
    <xf numFmtId="0" fontId="23" fillId="11" borderId="0" xfId="0" applyFont="1" applyFill="1" applyAlignment="1">
      <alignment horizontal="center" vertical="center"/>
    </xf>
    <xf numFmtId="0" fontId="23" fillId="0" borderId="0" xfId="0" applyFont="1" applyAlignment="1">
      <alignment horizontal="center" vertical="center"/>
    </xf>
    <xf numFmtId="0" fontId="21" fillId="11" borderId="62" xfId="0" applyFont="1" applyFill="1" applyBorder="1" applyAlignment="1">
      <alignment horizontal="center" vertical="center"/>
    </xf>
    <xf numFmtId="0" fontId="23" fillId="12" borderId="62" xfId="0" applyFont="1" applyFill="1" applyBorder="1" applyAlignment="1">
      <alignment horizontal="center" vertical="center"/>
    </xf>
    <xf numFmtId="0" fontId="0" fillId="0" borderId="0" xfId="0" pivotButton="1"/>
    <xf numFmtId="15" fontId="0" fillId="0" borderId="0" xfId="0" applyNumberFormat="1" applyAlignment="1">
      <alignment horizontal="left"/>
    </xf>
    <xf numFmtId="0" fontId="0" fillId="0" borderId="0" xfId="0" applyAlignment="1">
      <alignment horizontal="left"/>
    </xf>
    <xf numFmtId="15" fontId="0" fillId="0" borderId="0" xfId="0" applyNumberFormat="1" applyAlignment="1">
      <alignment horizontal="left" indent="1"/>
    </xf>
    <xf numFmtId="0" fontId="45" fillId="0" borderId="51" xfId="0" applyFont="1" applyBorder="1" applyAlignment="1">
      <alignment horizontal="left" vertical="center" indent="8"/>
    </xf>
    <xf numFmtId="169" fontId="45" fillId="11" borderId="63" xfId="0" applyNumberFormat="1" applyFont="1" applyFill="1" applyBorder="1" applyAlignment="1">
      <alignment horizontal="center" vertical="center"/>
    </xf>
    <xf numFmtId="0" fontId="45" fillId="0" borderId="0" xfId="0" applyFont="1" applyAlignment="1">
      <alignment horizontal="center" vertical="center"/>
    </xf>
    <xf numFmtId="0" fontId="45" fillId="11" borderId="63" xfId="0" applyFont="1" applyFill="1" applyBorder="1" applyAlignment="1">
      <alignment horizontal="center" vertical="center"/>
    </xf>
    <xf numFmtId="164" fontId="13" fillId="0" borderId="44" xfId="0" applyNumberFormat="1" applyFont="1" applyBorder="1"/>
    <xf numFmtId="169" fontId="8" fillId="0" borderId="0" xfId="0" applyNumberFormat="1" applyFont="1" applyAlignment="1">
      <alignment horizontal="left" vertical="center" indent="2"/>
    </xf>
    <xf numFmtId="0" fontId="31" fillId="0" borderId="0" xfId="0" applyFont="1" applyAlignment="1">
      <alignment horizontal="left" vertical="center"/>
    </xf>
    <xf numFmtId="0" fontId="42" fillId="0" borderId="0" xfId="0" applyFont="1" applyAlignment="1">
      <alignment horizontal="center" vertical="center"/>
    </xf>
    <xf numFmtId="0" fontId="42" fillId="0" borderId="57" xfId="0" applyFont="1" applyBorder="1" applyAlignment="1">
      <alignment horizontal="center" vertical="center"/>
    </xf>
    <xf numFmtId="0" fontId="42" fillId="10" borderId="48" xfId="0" applyFont="1" applyFill="1" applyBorder="1" applyAlignment="1">
      <alignment horizontal="center" vertical="center"/>
    </xf>
    <xf numFmtId="0" fontId="42" fillId="10" borderId="49" xfId="0" applyFont="1" applyFill="1" applyBorder="1" applyAlignment="1">
      <alignment horizontal="center" vertical="center"/>
    </xf>
    <xf numFmtId="0" fontId="42" fillId="10" borderId="50" xfId="0" applyFont="1" applyFill="1" applyBorder="1" applyAlignment="1">
      <alignment horizontal="center" vertical="center"/>
    </xf>
    <xf numFmtId="0" fontId="38" fillId="0" borderId="0" xfId="0" applyFont="1" applyAlignment="1">
      <alignment horizontal="left" vertical="center"/>
    </xf>
    <xf numFmtId="0" fontId="38" fillId="0" borderId="59" xfId="0" applyFont="1" applyBorder="1" applyAlignment="1">
      <alignment horizontal="center" vertical="center" wrapText="1"/>
    </xf>
    <xf numFmtId="0" fontId="38" fillId="0" borderId="0" xfId="0" applyFont="1" applyAlignment="1">
      <alignment horizontal="center" vertical="center" wrapText="1"/>
    </xf>
    <xf numFmtId="0" fontId="38" fillId="0" borderId="59" xfId="0" applyFont="1" applyBorder="1" applyAlignment="1">
      <alignment horizontal="left" vertical="center" wrapText="1"/>
    </xf>
    <xf numFmtId="0" fontId="38" fillId="0" borderId="0" xfId="0" applyFont="1" applyAlignment="1">
      <alignment horizontal="left" vertical="center" wrapText="1"/>
    </xf>
    <xf numFmtId="0" fontId="38" fillId="0" borderId="54" xfId="0" applyFont="1" applyBorder="1" applyAlignment="1">
      <alignment horizontal="left" vertical="center" wrapText="1"/>
    </xf>
    <xf numFmtId="0" fontId="10" fillId="10" borderId="44" xfId="1" applyFont="1" applyFill="1" applyBorder="1" applyAlignment="1">
      <alignment horizontal="center" vertical="center"/>
    </xf>
    <xf numFmtId="0" fontId="24" fillId="10" borderId="0" xfId="0" applyFont="1" applyFill="1" applyAlignment="1">
      <alignment horizontal="left" vertical="center"/>
    </xf>
    <xf numFmtId="0" fontId="21" fillId="10" borderId="0" xfId="0" applyFont="1" applyFill="1" applyAlignment="1">
      <alignment horizontal="left" vertical="center"/>
    </xf>
    <xf numFmtId="0" fontId="23" fillId="0" borderId="0" xfId="0" applyFont="1" applyAlignment="1">
      <alignment horizontal="center" vertical="center" wrapText="1"/>
    </xf>
    <xf numFmtId="0" fontId="47" fillId="0" borderId="45" xfId="0" applyFont="1" applyBorder="1" applyAlignment="1">
      <alignment horizontal="center" vertical="center" wrapText="1"/>
    </xf>
    <xf numFmtId="0" fontId="47" fillId="0" borderId="0" xfId="0" applyFont="1" applyAlignment="1">
      <alignment horizontal="center" vertical="center" wrapText="1"/>
    </xf>
    <xf numFmtId="0" fontId="10" fillId="10" borderId="0" xfId="0" applyFont="1" applyFill="1" applyAlignment="1">
      <alignment horizontal="center" vertical="center"/>
    </xf>
    <xf numFmtId="0" fontId="46" fillId="11" borderId="0" xfId="0" applyFont="1" applyFill="1" applyAlignment="1">
      <alignment horizontal="right" vertical="center"/>
    </xf>
    <xf numFmtId="0" fontId="46" fillId="11" borderId="43" xfId="0" applyFont="1" applyFill="1" applyBorder="1" applyAlignment="1">
      <alignment horizontal="right" vertical="center"/>
    </xf>
    <xf numFmtId="0" fontId="31" fillId="3" borderId="14" xfId="0" applyFont="1" applyFill="1" applyBorder="1" applyAlignment="1">
      <alignment horizontal="left" vertical="center" wrapText="1"/>
    </xf>
    <xf numFmtId="0" fontId="31" fillId="3" borderId="15" xfId="0" applyFont="1" applyFill="1" applyBorder="1" applyAlignment="1">
      <alignment horizontal="left" vertical="center" wrapText="1"/>
    </xf>
    <xf numFmtId="0" fontId="31" fillId="5" borderId="13" xfId="0" applyFont="1" applyFill="1" applyBorder="1" applyAlignment="1">
      <alignment horizontal="left" vertical="center"/>
    </xf>
    <xf numFmtId="0" fontId="31" fillId="5" borderId="16" xfId="0" applyFont="1" applyFill="1" applyBorder="1" applyAlignment="1">
      <alignment horizontal="left" vertical="center"/>
    </xf>
    <xf numFmtId="0" fontId="31" fillId="4" borderId="17" xfId="0" applyFont="1" applyFill="1" applyBorder="1" applyAlignment="1">
      <alignment horizontal="left" vertical="center" wrapText="1"/>
    </xf>
    <xf numFmtId="0" fontId="31" fillId="4" borderId="18" xfId="0" applyFont="1" applyFill="1" applyBorder="1" applyAlignment="1">
      <alignment horizontal="left" vertical="center" wrapText="1"/>
    </xf>
    <xf numFmtId="0" fontId="31" fillId="4" borderId="19" xfId="0" applyFont="1" applyFill="1" applyBorder="1" applyAlignment="1">
      <alignment horizontal="left" vertical="center" wrapText="1"/>
    </xf>
    <xf numFmtId="0" fontId="24" fillId="10" borderId="0" xfId="0" applyFont="1" applyFill="1" applyAlignment="1">
      <alignment horizontal="center" vertical="center"/>
    </xf>
    <xf numFmtId="0" fontId="32" fillId="7" borderId="0" xfId="0" applyFont="1" applyFill="1" applyAlignment="1">
      <alignment horizontal="center" vertical="center"/>
    </xf>
    <xf numFmtId="165" fontId="8" fillId="0" borderId="41" xfId="0" applyNumberFormat="1" applyFont="1" applyBorder="1" applyAlignment="1">
      <alignment horizontal="center" vertical="center"/>
    </xf>
    <xf numFmtId="165" fontId="8" fillId="0" borderId="0" xfId="0" applyNumberFormat="1" applyFont="1" applyAlignment="1">
      <alignment horizontal="center" vertical="center"/>
    </xf>
    <xf numFmtId="165" fontId="8" fillId="0" borderId="35" xfId="0" applyNumberFormat="1" applyFont="1" applyBorder="1" applyAlignment="1">
      <alignment horizontal="center" vertical="center"/>
    </xf>
  </cellXfs>
  <cellStyles count="4">
    <cellStyle name="Comma" xfId="2" builtinId="3"/>
    <cellStyle name="Hyperlink" xfId="1" builtinId="8"/>
    <cellStyle name="Normal" xfId="0" builtinId="0"/>
    <cellStyle name="Percent" xfId="3" builtinId="5"/>
  </cellStyles>
  <dxfs count="83">
    <dxf>
      <font>
        <color rgb="FF9C0006"/>
      </font>
      <fill>
        <patternFill>
          <bgColor rgb="FFFFC7CE"/>
        </patternFill>
      </fill>
    </dxf>
    <dxf>
      <font>
        <color theme="0" tint="-0.24994659260841701"/>
      </font>
      <fill>
        <patternFill>
          <bgColor theme="0" tint="-4.9989318521683403E-2"/>
        </patternFill>
      </fill>
    </dxf>
    <dxf>
      <font>
        <color theme="0" tint="-0.24994659260841701"/>
      </font>
      <fill>
        <patternFill>
          <bgColor theme="0" tint="-4.9989318521683403E-2"/>
        </patternFill>
      </fill>
    </dxf>
    <dxf>
      <font>
        <color theme="0" tint="-0.24994659260841701"/>
      </font>
      <fill>
        <patternFill>
          <bgColor theme="0" tint="-4.9989318521683403E-2"/>
        </patternFill>
      </fill>
    </dxf>
    <dxf>
      <fill>
        <patternFill>
          <bgColor rgb="FFFAF4E6"/>
        </patternFill>
      </fill>
    </dxf>
    <dxf>
      <fill>
        <patternFill>
          <bgColor rgb="FFF5E9CD"/>
        </patternFill>
      </fill>
    </dxf>
    <dxf>
      <fill>
        <patternFill>
          <bgColor rgb="FFECD39C"/>
        </patternFill>
      </fill>
    </dxf>
    <dxf>
      <fill>
        <patternFill>
          <bgColor rgb="FFE3BD6A"/>
        </patternFill>
      </fill>
    </dxf>
    <dxf>
      <fill>
        <patternFill>
          <bgColor rgb="FFDAA739"/>
        </patternFill>
      </fill>
    </dxf>
    <dxf>
      <fill>
        <patternFill>
          <bgColor rgb="FFD19108"/>
        </patternFill>
      </fill>
    </dxf>
    <dxf>
      <fill>
        <patternFill>
          <bgColor rgb="FFFBE7F2"/>
        </patternFill>
      </fill>
    </dxf>
    <dxf>
      <fill>
        <patternFill>
          <bgColor rgb="FFF7D0E6"/>
        </patternFill>
      </fill>
    </dxf>
    <dxf>
      <fill>
        <patternFill>
          <bgColor rgb="FFEFA2CD"/>
        </patternFill>
      </fill>
    </dxf>
    <dxf>
      <fill>
        <patternFill>
          <bgColor rgb="FFE774B5"/>
        </patternFill>
      </fill>
    </dxf>
    <dxf>
      <fill>
        <patternFill>
          <bgColor rgb="FFDF469C"/>
        </patternFill>
      </fill>
    </dxf>
    <dxf>
      <fill>
        <patternFill>
          <bgColor rgb="FFD81884"/>
        </patternFill>
      </fill>
    </dxf>
    <dxf>
      <fill>
        <patternFill>
          <bgColor rgb="FFE5F7ED"/>
        </patternFill>
      </fill>
    </dxf>
    <dxf>
      <fill>
        <patternFill>
          <bgColor rgb="FFCCEFDC"/>
        </patternFill>
      </fill>
    </dxf>
    <dxf>
      <fill>
        <patternFill>
          <bgColor rgb="FF99DFB9"/>
        </patternFill>
      </fill>
    </dxf>
    <dxf>
      <fill>
        <patternFill>
          <bgColor rgb="FF66CF96"/>
        </patternFill>
      </fill>
    </dxf>
    <dxf>
      <fill>
        <patternFill>
          <bgColor rgb="FF32BF72"/>
        </patternFill>
      </fill>
    </dxf>
    <dxf>
      <fill>
        <patternFill>
          <bgColor rgb="FF00B050"/>
        </patternFill>
      </fill>
    </dxf>
    <dxf>
      <fill>
        <patternFill>
          <bgColor rgb="FFCDF5DF"/>
        </patternFill>
      </fill>
    </dxf>
    <dxf>
      <fill>
        <patternFill>
          <bgColor rgb="FFF5CDE4"/>
        </patternFill>
      </fill>
    </dxf>
    <dxf>
      <fill>
        <patternFill>
          <bgColor rgb="FFF5E9CD"/>
        </patternFill>
      </fill>
    </dxf>
    <dxf>
      <font>
        <b/>
        <i val="0"/>
      </font>
      <border>
        <top style="thin">
          <color theme="0" tint="-0.499984740745262"/>
        </top>
        <vertical/>
        <horizontal/>
      </border>
    </dxf>
    <dxf>
      <font>
        <b/>
        <i val="0"/>
        <color theme="0"/>
      </font>
      <fill>
        <patternFill>
          <bgColor rgb="FFD19108"/>
        </patternFill>
      </fill>
    </dxf>
    <dxf>
      <font>
        <b/>
        <i val="0"/>
        <color theme="0"/>
      </font>
      <fill>
        <patternFill>
          <bgColor rgb="FF08D161"/>
        </patternFill>
      </fill>
    </dxf>
    <dxf>
      <font>
        <b/>
        <i val="0"/>
        <color theme="0"/>
      </font>
      <fill>
        <patternFill>
          <bgColor rgb="FFD10878"/>
        </patternFill>
      </fill>
    </dxf>
    <dxf>
      <font>
        <b val="0"/>
        <i val="0"/>
        <strike val="0"/>
        <condense val="0"/>
        <extend val="0"/>
        <outline val="0"/>
        <shadow val="0"/>
        <u val="none"/>
        <vertAlign val="baseline"/>
        <sz val="11"/>
        <color theme="0" tint="-0.14999847407452621"/>
        <name val="Avenir Next LT Pro"/>
        <family val="2"/>
        <scheme val="none"/>
      </font>
      <numFmt numFmtId="169" formatCode="d\-mmm\-yy"/>
      <alignment horizontal="left" vertical="center" textRotation="0" wrapText="0" indent="2" justifyLastLine="0" shrinkToFit="0" readingOrder="0"/>
    </dxf>
    <dxf>
      <font>
        <b val="0"/>
        <i val="0"/>
        <strike val="0"/>
        <condense val="0"/>
        <extend val="0"/>
        <outline val="0"/>
        <shadow val="0"/>
        <u val="none"/>
        <vertAlign val="baseline"/>
        <sz val="10"/>
        <color theme="0" tint="-0.499984740745262"/>
        <name val="Avenir Next LT Pro"/>
        <family val="2"/>
        <scheme val="none"/>
      </font>
      <numFmt numFmtId="166" formatCode="_-* #,##0_-;\-* #,##0_-;_-* &quot;-&quot;??_-;_-@_-"/>
      <alignment horizontal="left" vertical="center" textRotation="0" wrapText="0" indent="2" justifyLastLine="0" shrinkToFit="0" readingOrder="0"/>
    </dxf>
    <dxf>
      <font>
        <b val="0"/>
        <i val="0"/>
        <strike val="0"/>
        <condense val="0"/>
        <extend val="0"/>
        <outline val="0"/>
        <shadow val="0"/>
        <u val="none"/>
        <vertAlign val="baseline"/>
        <sz val="11"/>
        <color theme="0" tint="-0.499984740745262"/>
        <name val="Avenir Next LT Pro"/>
        <family val="2"/>
        <scheme val="none"/>
      </font>
      <numFmt numFmtId="0" formatCode="General"/>
      <alignment horizontal="left" vertical="center" textRotation="0" wrapText="0" indent="2" justifyLastLine="0" shrinkToFit="0" readingOrder="0"/>
    </dxf>
    <dxf>
      <font>
        <b val="0"/>
        <i val="0"/>
        <strike val="0"/>
        <condense val="0"/>
        <extend val="0"/>
        <outline val="0"/>
        <shadow val="0"/>
        <u val="none"/>
        <vertAlign val="baseline"/>
        <sz val="10"/>
        <color theme="1"/>
        <name val="Avenir Next LT Pro"/>
        <family val="2"/>
        <scheme val="none"/>
      </font>
      <numFmt numFmtId="166" formatCode="_-* #,##0_-;\-* #,##0_-;_-* &quot;-&quot;??_-;_-@_-"/>
      <alignment horizontal="left" vertical="center"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0" formatCode="General"/>
      <alignment horizontal="left" vertical="center"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0" formatCode="General"/>
      <alignment horizontal="left" vertical="center"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20" formatCode="dd\-mmm\-yy"/>
      <alignment horizontal="left" vertical="center"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169" formatCode="d\-mmm\-yy"/>
      <alignment horizontal="left" vertical="center" textRotation="0" wrapText="0" indent="2" justifyLastLine="0" shrinkToFit="0" readingOrder="0"/>
    </dxf>
    <dxf>
      <font>
        <b/>
        <i val="0"/>
        <strike val="0"/>
        <condense val="0"/>
        <extend val="0"/>
        <outline val="0"/>
        <shadow val="0"/>
        <u val="none"/>
        <vertAlign val="baseline"/>
        <sz val="12"/>
        <color theme="1"/>
        <name val="Avenir Next LT Pro"/>
        <family val="2"/>
        <scheme val="none"/>
      </font>
      <alignment horizontal="left" vertical="center" textRotation="0" wrapText="0" relativeIndent="1" justifyLastLine="0" shrinkToFit="0" readingOrder="0"/>
    </dxf>
    <dxf>
      <font>
        <b/>
        <i val="0"/>
        <color rgb="FF00B050"/>
      </font>
      <numFmt numFmtId="3" formatCode="#,##0"/>
    </dxf>
    <dxf>
      <font>
        <b/>
        <i val="0"/>
        <color rgb="FFD10878"/>
      </font>
    </dxf>
    <dxf>
      <font>
        <color theme="0" tint="-0.24994659260841701"/>
      </font>
      <fill>
        <patternFill>
          <bgColor theme="0" tint="-4.9989318521683403E-2"/>
        </patternFill>
      </fill>
    </dxf>
    <dxf>
      <font>
        <color theme="0" tint="-0.24994659260841701"/>
      </font>
      <fill>
        <patternFill>
          <bgColor theme="0" tint="-4.9989318521683403E-2"/>
        </patternFill>
      </fill>
    </dxf>
    <dxf>
      <font>
        <b/>
        <i val="0"/>
        <color rgb="FF00B050"/>
      </font>
      <numFmt numFmtId="3" formatCode="#,##0"/>
    </dxf>
    <dxf>
      <font>
        <b/>
        <i val="0"/>
        <color rgb="FFD10878"/>
      </font>
    </dxf>
    <dxf>
      <font>
        <color theme="0" tint="-0.499984740745262"/>
      </font>
      <numFmt numFmtId="170" formatCode="\➜\ d\-mmm\-yy"/>
    </dxf>
    <dxf>
      <font>
        <strike val="0"/>
        <outline val="0"/>
        <shadow val="0"/>
        <u val="none"/>
        <vertAlign val="baseline"/>
        <color theme="0" tint="-0.34998626667073579"/>
        <name val="Avenir Next LT Pro"/>
        <family val="2"/>
        <scheme val="none"/>
      </font>
      <numFmt numFmtId="166" formatCode="_-* #,##0_-;\-* #,##0_-;_-* &quot;-&quot;??_-;_-@_-"/>
      <alignment horizontal="left" vertical="bottom" textRotation="0" wrapText="0" relativeIndent="-1" justifyLastLine="0" shrinkToFit="0" readingOrder="0"/>
    </dxf>
    <dxf>
      <font>
        <strike val="0"/>
        <outline val="0"/>
        <shadow val="0"/>
        <u val="none"/>
        <vertAlign val="baseline"/>
        <color theme="0" tint="-0.34998626667073579"/>
        <name val="Avenir Next LT Pro"/>
        <family val="2"/>
        <scheme val="none"/>
      </font>
      <numFmt numFmtId="166" formatCode="_-* #,##0_-;\-* #,##0_-;_-* &quot;-&quot;??_-;_-@_-"/>
      <alignment horizontal="left" vertical="bottom" textRotation="0" wrapText="0" relativeIndent="-1" justifyLastLine="0" shrinkToFit="0" readingOrder="0"/>
    </dxf>
    <dxf>
      <font>
        <strike val="0"/>
        <outline val="0"/>
        <shadow val="0"/>
        <u val="none"/>
        <vertAlign val="baseline"/>
        <name val="Avenir Next LT Pro"/>
        <family val="2"/>
        <scheme val="none"/>
      </font>
      <numFmt numFmtId="166" formatCode="_-* #,##0_-;\-* #,##0_-;_-* &quot;-&quot;??_-;_-@_-"/>
      <alignment horizontal="center" vertical="bottom" textRotation="0" wrapText="0" indent="0" justifyLastLine="0" shrinkToFit="0" readingOrder="0"/>
    </dxf>
    <dxf>
      <font>
        <strike val="0"/>
        <outline val="0"/>
        <shadow val="0"/>
        <u val="none"/>
        <vertAlign val="baseline"/>
        <color theme="0" tint="-0.34998626667073579"/>
        <name val="Avenir Next LT Pro"/>
        <family val="2"/>
        <scheme val="none"/>
      </font>
      <numFmt numFmtId="166" formatCode="_-* #,##0_-;\-* #,##0_-;_-* &quot;-&quot;??_-;_-@_-"/>
      <alignment horizontal="left" vertical="bottom" textRotation="0" wrapText="0" relativeIndent="-1" justifyLastLine="0" shrinkToFit="0" readingOrder="0"/>
    </dxf>
    <dxf>
      <font>
        <strike val="0"/>
        <outline val="0"/>
        <shadow val="0"/>
        <u val="none"/>
        <vertAlign val="baseline"/>
        <color theme="0" tint="-0.34998626667073579"/>
        <name val="Avenir Next LT Pro"/>
        <family val="2"/>
        <scheme val="none"/>
      </font>
      <numFmt numFmtId="166" formatCode="_-* #,##0_-;\-* #,##0_-;_-* &quot;-&quot;??_-;_-@_-"/>
      <alignment horizontal="left" vertical="bottom" textRotation="0" wrapText="0" relativeIndent="-1" justifyLastLine="0" shrinkToFit="0" readingOrder="0"/>
    </dxf>
    <dxf>
      <font>
        <strike val="0"/>
        <outline val="0"/>
        <shadow val="0"/>
        <u val="none"/>
        <vertAlign val="baseline"/>
        <name val="Avenir Next LT Pro"/>
        <family val="2"/>
        <scheme val="none"/>
      </font>
      <numFmt numFmtId="166" formatCode="_-* #,##0_-;\-* #,##0_-;_-* &quot;-&quot;??_-;_-@_-"/>
      <alignment horizontal="center" vertical="bottom" textRotation="0" wrapText="0" indent="0" justifyLastLine="0" shrinkToFit="0" readingOrder="0"/>
    </dxf>
    <dxf>
      <font>
        <strike val="0"/>
        <outline val="0"/>
        <shadow val="0"/>
        <u val="none"/>
        <vertAlign val="baseline"/>
        <color theme="0" tint="-0.34998626667073579"/>
        <name val="Avenir Next LT Pro"/>
        <family val="2"/>
        <scheme val="none"/>
      </font>
      <numFmt numFmtId="166" formatCode="_-* #,##0_-;\-* #,##0_-;_-* &quot;-&quot;??_-;_-@_-"/>
      <alignment horizontal="left" vertical="bottom" textRotation="0" wrapText="0" indent="0" justifyLastLine="0" shrinkToFit="0" readingOrder="0"/>
    </dxf>
    <dxf>
      <font>
        <strike val="0"/>
        <outline val="0"/>
        <shadow val="0"/>
        <u val="none"/>
        <vertAlign val="baseline"/>
        <color theme="0" tint="-0.34998626667073579"/>
        <name val="Avenir Next LT Pro"/>
        <family val="2"/>
        <scheme val="none"/>
      </font>
      <alignment horizontal="left" vertical="bottom" textRotation="0" wrapText="0" indent="0" justifyLastLine="0" shrinkToFit="0" readingOrder="0"/>
    </dxf>
    <dxf>
      <font>
        <strike val="0"/>
        <outline val="0"/>
        <shadow val="0"/>
        <u val="none"/>
        <vertAlign val="baseline"/>
        <name val="Avenir Next LT Pro"/>
        <family val="2"/>
        <scheme val="none"/>
      </font>
      <fill>
        <patternFill patternType="solid">
          <fgColor indexed="64"/>
          <bgColor rgb="FF00B050"/>
        </patternFill>
      </fill>
      <alignment horizontal="center" vertical="bottom" textRotation="0" wrapText="0" indent="0" justifyLastLine="0" shrinkToFit="0" readingOrder="0"/>
    </dxf>
    <dxf>
      <font>
        <color rgb="FFFF0000"/>
      </font>
    </dxf>
    <dxf>
      <font>
        <color rgb="FF0021F3"/>
      </font>
    </dxf>
    <dxf>
      <font>
        <color theme="0" tint="-0.34998626667073579"/>
      </font>
      <border>
        <vertical/>
        <horizontal/>
      </border>
    </dxf>
    <dxf>
      <font>
        <color theme="1"/>
      </font>
      <fill>
        <patternFill>
          <bgColor rgb="FFCDF5DF"/>
        </patternFill>
      </fill>
      <border>
        <left style="thin">
          <color rgb="FF83E8B0"/>
        </left>
        <right style="thin">
          <color rgb="FF83E8B0"/>
        </right>
        <top style="thin">
          <color rgb="FF83E8B0"/>
        </top>
        <bottom style="thin">
          <color rgb="FF83E8B0"/>
        </bottom>
      </border>
    </dxf>
    <dxf>
      <font>
        <color theme="1"/>
      </font>
      <fill>
        <patternFill>
          <bgColor rgb="FFF5CDE4"/>
        </patternFill>
      </fill>
      <border>
        <left style="thin">
          <color rgb="FFE883BB"/>
        </left>
        <right style="thin">
          <color rgb="FFE883BB"/>
        </right>
        <top style="thin">
          <color rgb="FFE883BB"/>
        </top>
        <bottom style="thin">
          <color rgb="FFE883BB"/>
        </bottom>
      </border>
    </dxf>
    <dxf>
      <font>
        <color theme="1"/>
      </font>
      <fill>
        <patternFill>
          <bgColor rgb="FFF5CDE4"/>
        </patternFill>
      </fill>
      <border>
        <left style="thin">
          <color rgb="FFE883BB"/>
        </left>
        <right style="thin">
          <color rgb="FFE883BB"/>
        </right>
        <top style="thin">
          <color rgb="FFE883BB"/>
        </top>
        <bottom style="thin">
          <color rgb="FFE883BB"/>
        </bottom>
      </border>
    </dxf>
    <dxf>
      <font>
        <color theme="1"/>
      </font>
      <fill>
        <patternFill>
          <bgColor rgb="FFCDF5DF"/>
        </patternFill>
      </fill>
      <border>
        <left style="thin">
          <color rgb="FF83E8B0"/>
        </left>
        <right style="thin">
          <color rgb="FF83E8B0"/>
        </right>
        <top style="thin">
          <color rgb="FF83E8B0"/>
        </top>
        <bottom style="thin">
          <color rgb="FF83E8B0"/>
        </bottom>
      </border>
    </dxf>
    <dxf>
      <font>
        <color theme="1"/>
      </font>
      <fill>
        <patternFill>
          <bgColor rgb="FFCDF5DF"/>
        </patternFill>
      </fill>
      <border>
        <left style="thin">
          <color rgb="FF83E8B0"/>
        </left>
        <right style="thin">
          <color rgb="FF83E8B0"/>
        </right>
        <top style="thin">
          <color rgb="FF83E8B0"/>
        </top>
        <bottom style="thin">
          <color rgb="FF83E8B0"/>
        </bottom>
      </border>
    </dxf>
    <dxf>
      <font>
        <color theme="1"/>
      </font>
      <fill>
        <patternFill>
          <bgColor rgb="FFF5E9CD"/>
        </patternFill>
      </fill>
      <border>
        <left style="thin">
          <color rgb="FFE8C883"/>
        </left>
        <right style="thin">
          <color rgb="FFE8C883"/>
        </right>
        <top style="thin">
          <color rgb="FFE8C883"/>
        </top>
        <bottom style="thin">
          <color rgb="FFE8C883"/>
        </bottom>
      </border>
    </dxf>
    <dxf>
      <font>
        <color theme="1"/>
      </font>
      <fill>
        <patternFill>
          <bgColor rgb="FFF5CDE4"/>
        </patternFill>
      </fill>
      <border>
        <left style="thin">
          <color rgb="FFE883BB"/>
        </left>
        <right style="thin">
          <color rgb="FFE883BB"/>
        </right>
        <top style="thin">
          <color rgb="FFE883BB"/>
        </top>
        <bottom style="thin">
          <color rgb="FFE883BB"/>
        </bottom>
      </border>
    </dxf>
    <dxf>
      <font>
        <color theme="1"/>
      </font>
      <fill>
        <patternFill>
          <bgColor rgb="FFCDF5DF"/>
        </patternFill>
      </fill>
      <border>
        <left style="thin">
          <color rgb="FF83E8B0"/>
        </left>
        <right style="thin">
          <color rgb="FF83E8B0"/>
        </right>
        <top style="thin">
          <color rgb="FF83E8B0"/>
        </top>
        <bottom style="thin">
          <color rgb="FF83E8B0"/>
        </bottom>
      </border>
    </dxf>
    <dxf>
      <font>
        <color theme="1"/>
      </font>
      <fill>
        <patternFill>
          <bgColor rgb="FFF5E9CD"/>
        </patternFill>
      </fill>
      <border>
        <left style="thin">
          <color rgb="FFE8C883"/>
        </left>
        <right style="thin">
          <color rgb="FFE8C883"/>
        </right>
        <top style="thin">
          <color rgb="FFE8C883"/>
        </top>
        <bottom style="thin">
          <color rgb="FFE8C883"/>
        </bottom>
      </border>
    </dxf>
    <dxf>
      <font>
        <color theme="1"/>
      </font>
      <fill>
        <patternFill>
          <bgColor rgb="FFF5CDE4"/>
        </patternFill>
      </fill>
      <border>
        <left style="thin">
          <color rgb="FFE883BB"/>
        </left>
        <right style="thin">
          <color rgb="FFE883BB"/>
        </right>
        <top style="thin">
          <color rgb="FFE883BB"/>
        </top>
        <bottom style="thin">
          <color rgb="FFE883BB"/>
        </bottom>
      </border>
    </dxf>
    <dxf>
      <font>
        <color theme="1"/>
      </font>
      <fill>
        <patternFill>
          <bgColor rgb="FFCDF5DF"/>
        </patternFill>
      </fill>
      <border>
        <left style="thin">
          <color rgb="FF83E8B0"/>
        </left>
        <right style="thin">
          <color rgb="FF83E8B0"/>
        </right>
        <top style="thin">
          <color rgb="FF83E8B0"/>
        </top>
        <bottom style="thin">
          <color rgb="FF83E8B0"/>
        </bottom>
      </border>
    </dxf>
    <dxf>
      <font>
        <color theme="0" tint="-0.24994659260841701"/>
      </font>
      <fill>
        <patternFill>
          <bgColor theme="0" tint="-4.9989318521683403E-2"/>
        </patternFill>
      </fill>
    </dxf>
    <dxf>
      <fill>
        <patternFill>
          <bgColor theme="0" tint="-4.9989318521683403E-2"/>
        </patternFill>
      </fill>
    </dxf>
    <dxf>
      <font>
        <b/>
        <i val="0"/>
        <color theme="0"/>
      </font>
      <fill>
        <patternFill>
          <bgColor rgb="FF00B050"/>
        </patternFill>
      </fill>
    </dxf>
    <dxf>
      <border diagonalUp="0" diagonalDown="0">
        <left style="medium">
          <color rgb="FF00B050"/>
        </left>
        <right style="medium">
          <color rgb="FF00B050"/>
        </right>
        <top style="medium">
          <color rgb="FF00B050"/>
        </top>
        <bottom style="medium">
          <color rgb="FF00B050"/>
        </bottom>
        <vertical/>
        <horizontal/>
      </border>
    </dxf>
    <dxf>
      <fill>
        <patternFill>
          <bgColor theme="0" tint="-4.9989318521683403E-2"/>
        </patternFill>
      </fill>
    </dxf>
    <dxf>
      <font>
        <b/>
        <i val="0"/>
        <color theme="0"/>
      </font>
      <fill>
        <patternFill>
          <bgColor theme="8" tint="-0.24994659260841701"/>
        </patternFill>
      </fill>
    </dxf>
    <dxf>
      <border diagonalUp="0" diagonalDown="0">
        <left style="medium">
          <color theme="8" tint="-0.499984740745262"/>
        </left>
        <right style="medium">
          <color theme="8" tint="-0.499984740745262"/>
        </right>
        <top style="medium">
          <color theme="8" tint="-0.499984740745262"/>
        </top>
        <bottom style="medium">
          <color theme="8" tint="-0.499984740745262"/>
        </bottom>
        <vertical/>
        <horizontal/>
      </border>
    </dxf>
    <dxf>
      <font>
        <b/>
        <i val="0"/>
        <color theme="0"/>
      </font>
      <fill>
        <patternFill>
          <bgColor rgb="FFD19108"/>
        </patternFill>
      </fill>
    </dxf>
    <dxf>
      <border diagonalUp="0" diagonalDown="0">
        <left style="thin">
          <color rgb="FFE8C883"/>
        </left>
        <right style="thin">
          <color rgb="FFE8C883"/>
        </right>
        <top style="thin">
          <color rgb="FFE8C883"/>
        </top>
        <bottom style="thin">
          <color rgb="FFE8C883"/>
        </bottom>
        <vertical style="thin">
          <color rgb="FFE8C883"/>
        </vertical>
        <horizontal style="thin">
          <color rgb="FFE8C883"/>
        </horizontal>
      </border>
    </dxf>
    <dxf>
      <font>
        <b/>
        <i val="0"/>
        <color theme="0"/>
      </font>
      <fill>
        <patternFill>
          <bgColor rgb="FF08D161"/>
        </patternFill>
      </fill>
    </dxf>
    <dxf>
      <border>
        <left style="thin">
          <color rgb="FF83E8B0"/>
        </left>
        <right style="thin">
          <color rgb="FF83E8B0"/>
        </right>
        <top style="thin">
          <color rgb="FF83E8B0"/>
        </top>
        <bottom style="thin">
          <color rgb="FF83E8B0"/>
        </bottom>
        <vertical style="thin">
          <color rgb="FF83E8B0"/>
        </vertical>
        <horizontal style="thin">
          <color rgb="FF83E8B0"/>
        </horizontal>
      </border>
    </dxf>
    <dxf>
      <font>
        <b/>
        <i val="0"/>
        <color theme="0"/>
      </font>
      <fill>
        <patternFill>
          <bgColor rgb="FF00B050"/>
        </patternFill>
      </fill>
    </dxf>
    <dxf>
      <border diagonalUp="0" diagonalDown="0">
        <left style="medium">
          <color theme="0" tint="-0.499984740745262"/>
        </left>
        <right style="medium">
          <color theme="0" tint="-0.499984740745262"/>
        </right>
        <top style="medium">
          <color theme="0" tint="-0.499984740745262"/>
        </top>
        <bottom style="medium">
          <color theme="0" tint="-0.499984740745262"/>
        </bottom>
        <vertical style="thin">
          <color theme="0" tint="-0.499984740745262"/>
        </vertical>
        <horizontal/>
      </border>
    </dxf>
    <dxf>
      <font>
        <b/>
        <i val="0"/>
        <color theme="0"/>
      </font>
      <fill>
        <patternFill>
          <bgColor rgb="FFD10878"/>
        </patternFill>
      </fill>
    </dxf>
    <dxf>
      <border>
        <left style="thin">
          <color rgb="FFE883BB"/>
        </left>
        <right style="thin">
          <color rgb="FFE883BB"/>
        </right>
        <top style="thin">
          <color rgb="FFE883BB"/>
        </top>
        <bottom style="thin">
          <color rgb="FFE883BB"/>
        </bottom>
        <vertical style="thin">
          <color rgb="FFE883BB"/>
        </vertical>
        <horizontal style="thin">
          <color rgb="FFE883BB"/>
        </horizontal>
      </border>
    </dxf>
  </dxfs>
  <tableStyles count="7" defaultTableStyle="TableStyleMedium2" defaultPivotStyle="PivotStyleLight16">
    <tableStyle name="Expenditure Table Style" pivot="0" count="2" xr9:uid="{3D80E080-1956-45FF-8F0E-3A7A3A0A8735}">
      <tableStyleElement type="wholeTable" dxfId="82"/>
      <tableStyleElement type="headerRow" dxfId="81"/>
    </tableStyle>
    <tableStyle name="Expenses category table style" pivot="0" count="2" xr9:uid="{EB96B8D2-DDC3-4605-A8C5-414B9DF185B7}">
      <tableStyleElement type="wholeTable" dxfId="80"/>
      <tableStyleElement type="headerRow" dxfId="79"/>
    </tableStyle>
    <tableStyle name="Income Table Style" pivot="0" count="2" xr9:uid="{637FD755-6600-41A4-9BA5-669CB46FB889}">
      <tableStyleElement type="wholeTable" dxfId="78"/>
      <tableStyleElement type="headerRow" dxfId="77"/>
    </tableStyle>
    <tableStyle name="Invisible" pivot="0" table="0" count="0" xr9:uid="{61A0360B-4B89-4681-B3E7-05CD0E28E7F0}"/>
    <tableStyle name="Savings Table Style" pivot="0" count="2" xr9:uid="{67BC0100-66E6-4CE1-BA79-BB37D1216313}">
      <tableStyleElement type="wholeTable" dxfId="76"/>
      <tableStyleElement type="headerRow" dxfId="75"/>
    </tableStyle>
    <tableStyle name="Tracking table style" pivot="0" count="3" xr9:uid="{8E0F0C9D-1E7D-4D37-BCAE-1A0AC03DE607}">
      <tableStyleElement type="wholeTable" dxfId="74"/>
      <tableStyleElement type="headerRow" dxfId="73"/>
      <tableStyleElement type="firstRowStripe" dxfId="72"/>
    </tableStyle>
    <tableStyle name="Tracking table style 2" pivot="0" count="3" xr9:uid="{A48F6302-E63A-43F1-AD2A-240FBAFBA149}">
      <tableStyleElement type="wholeTable" dxfId="71"/>
      <tableStyleElement type="headerRow" dxfId="70"/>
      <tableStyleElement type="firstRowStripe" dxfId="69"/>
    </tableStyle>
  </tableStyles>
  <colors>
    <mruColors>
      <color rgb="FF990099"/>
      <color rgb="FF660066"/>
      <color rgb="FFE813C3"/>
      <color rgb="FFDDD0DB"/>
      <color rgb="FFEAE2E9"/>
      <color rgb="FFF5F1F5"/>
      <color rgb="FFEEE7ED"/>
      <color rgb="FFEEEEEE"/>
      <color rgb="FF800080"/>
      <color rgb="FFD818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60C5-4CD5-A2B6-F8ABE680E01D}"/>
              </c:ext>
            </c:extLst>
          </c:dPt>
          <c:dPt>
            <c:idx val="1"/>
            <c:bubble3D val="0"/>
            <c:spPr>
              <a:solidFill>
                <a:srgbClr val="32BF72"/>
              </a:solidFill>
              <a:ln w="19050">
                <a:solidFill>
                  <a:schemeClr val="lt1"/>
                </a:solidFill>
              </a:ln>
              <a:effectLst/>
            </c:spPr>
            <c:extLst>
              <c:ext xmlns:c16="http://schemas.microsoft.com/office/drawing/2014/chart" uri="{C3380CC4-5D6E-409C-BE32-E72D297353CC}">
                <c16:uniqueId val="{00000003-60C5-4CD5-A2B6-F8ABE680E01D}"/>
              </c:ext>
            </c:extLst>
          </c:dPt>
          <c:dPt>
            <c:idx val="2"/>
            <c:bubble3D val="0"/>
            <c:spPr>
              <a:solidFill>
                <a:srgbClr val="66CF96"/>
              </a:solidFill>
              <a:ln w="19050">
                <a:solidFill>
                  <a:schemeClr val="lt1"/>
                </a:solidFill>
              </a:ln>
              <a:effectLst/>
            </c:spPr>
            <c:extLst>
              <c:ext xmlns:c16="http://schemas.microsoft.com/office/drawing/2014/chart" uri="{C3380CC4-5D6E-409C-BE32-E72D297353CC}">
                <c16:uniqueId val="{00000005-60C5-4CD5-A2B6-F8ABE680E01D}"/>
              </c:ext>
            </c:extLst>
          </c:dPt>
          <c:dPt>
            <c:idx val="3"/>
            <c:bubble3D val="0"/>
            <c:spPr>
              <a:solidFill>
                <a:srgbClr val="99DFB9"/>
              </a:solidFill>
              <a:ln w="19050">
                <a:solidFill>
                  <a:schemeClr val="lt1"/>
                </a:solidFill>
              </a:ln>
              <a:effectLst/>
            </c:spPr>
            <c:extLst>
              <c:ext xmlns:c16="http://schemas.microsoft.com/office/drawing/2014/chart" uri="{C3380CC4-5D6E-409C-BE32-E72D297353CC}">
                <c16:uniqueId val="{00000007-60C5-4CD5-A2B6-F8ABE680E01D}"/>
              </c:ext>
            </c:extLst>
          </c:dPt>
          <c:dPt>
            <c:idx val="4"/>
            <c:bubble3D val="0"/>
            <c:spPr>
              <a:solidFill>
                <a:srgbClr val="CCEFDC"/>
              </a:solidFill>
              <a:ln w="19050">
                <a:solidFill>
                  <a:schemeClr val="lt1"/>
                </a:solidFill>
              </a:ln>
              <a:effectLst/>
            </c:spPr>
            <c:extLst>
              <c:ext xmlns:c16="http://schemas.microsoft.com/office/drawing/2014/chart" uri="{C3380CC4-5D6E-409C-BE32-E72D297353CC}">
                <c16:uniqueId val="{00000009-60C5-4CD5-A2B6-F8ABE680E01D}"/>
              </c:ext>
            </c:extLst>
          </c:dPt>
          <c:dPt>
            <c:idx val="5"/>
            <c:bubble3D val="0"/>
            <c:spPr>
              <a:solidFill>
                <a:srgbClr val="E5F7ED"/>
              </a:solidFill>
              <a:ln w="19050">
                <a:solidFill>
                  <a:schemeClr val="lt1"/>
                </a:solidFill>
              </a:ln>
              <a:effectLst/>
            </c:spPr>
            <c:extLst>
              <c:ext xmlns:c16="http://schemas.microsoft.com/office/drawing/2014/chart" uri="{C3380CC4-5D6E-409C-BE32-E72D297353CC}">
                <c16:uniqueId val="{0000000B-60C5-4CD5-A2B6-F8ABE680E01D}"/>
              </c:ext>
            </c:extLst>
          </c:dPt>
          <c:cat>
            <c:strRef>
              <c:f>Calculations!$D$35:$D$40</c:f>
              <c:strCache>
                <c:ptCount val="4"/>
                <c:pt idx="0">
                  <c:v>Salary</c:v>
                </c:pt>
                <c:pt idx="1">
                  <c:v>Freelance/Contract Work</c:v>
                </c:pt>
                <c:pt idx="2">
                  <c:v>Shopify Store</c:v>
                </c:pt>
                <c:pt idx="3">
                  <c:v>Google Adscence</c:v>
                </c:pt>
              </c:strCache>
            </c:strRef>
          </c:cat>
          <c:val>
            <c:numRef>
              <c:f>Calculations!$E$35:$E$40</c:f>
              <c:numCache>
                <c:formatCode>_(* #,##0_);_(* \(#,##0\);_(* "-"_);_(@_)</c:formatCode>
                <c:ptCount val="6"/>
                <c:pt idx="0">
                  <c:v>800000</c:v>
                </c:pt>
                <c:pt idx="1">
                  <c:v>4000</c:v>
                </c:pt>
                <c:pt idx="2">
                  <c:v>2000</c:v>
                </c:pt>
                <c:pt idx="3">
                  <c:v>2000</c:v>
                </c:pt>
                <c:pt idx="4">
                  <c:v>0</c:v>
                </c:pt>
                <c:pt idx="5">
                  <c:v>0</c:v>
                </c:pt>
              </c:numCache>
            </c:numRef>
          </c:val>
          <c:extLst>
            <c:ext xmlns:c16="http://schemas.microsoft.com/office/drawing/2014/chart" uri="{C3380CC4-5D6E-409C-BE32-E72D297353CC}">
              <c16:uniqueId val="{0000000C-60C5-4CD5-A2B6-F8ABE680E01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D10878"/>
              </a:solidFill>
              <a:ln w="19050">
                <a:solidFill>
                  <a:schemeClr val="lt1"/>
                </a:solidFill>
              </a:ln>
              <a:effectLst/>
            </c:spPr>
            <c:extLst>
              <c:ext xmlns:c16="http://schemas.microsoft.com/office/drawing/2014/chart" uri="{C3380CC4-5D6E-409C-BE32-E72D297353CC}">
                <c16:uniqueId val="{00000001-F033-46DD-B176-DD784FD4A25C}"/>
              </c:ext>
            </c:extLst>
          </c:dPt>
          <c:dPt>
            <c:idx val="1"/>
            <c:bubble3D val="0"/>
            <c:spPr>
              <a:solidFill>
                <a:srgbClr val="DF469C"/>
              </a:solidFill>
              <a:ln w="19050">
                <a:solidFill>
                  <a:schemeClr val="lt1"/>
                </a:solidFill>
              </a:ln>
              <a:effectLst/>
            </c:spPr>
            <c:extLst>
              <c:ext xmlns:c16="http://schemas.microsoft.com/office/drawing/2014/chart" uri="{C3380CC4-5D6E-409C-BE32-E72D297353CC}">
                <c16:uniqueId val="{00000003-F033-46DD-B176-DD784FD4A25C}"/>
              </c:ext>
            </c:extLst>
          </c:dPt>
          <c:dPt>
            <c:idx val="2"/>
            <c:bubble3D val="0"/>
            <c:spPr>
              <a:solidFill>
                <a:srgbClr val="E774B5"/>
              </a:solidFill>
              <a:ln w="19050">
                <a:solidFill>
                  <a:schemeClr val="lt1"/>
                </a:solidFill>
              </a:ln>
              <a:effectLst/>
            </c:spPr>
            <c:extLst>
              <c:ext xmlns:c16="http://schemas.microsoft.com/office/drawing/2014/chart" uri="{C3380CC4-5D6E-409C-BE32-E72D297353CC}">
                <c16:uniqueId val="{00000005-F033-46DD-B176-DD784FD4A25C}"/>
              </c:ext>
            </c:extLst>
          </c:dPt>
          <c:dPt>
            <c:idx val="3"/>
            <c:bubble3D val="0"/>
            <c:spPr>
              <a:solidFill>
                <a:srgbClr val="EFA2CD"/>
              </a:solidFill>
              <a:ln w="19050">
                <a:solidFill>
                  <a:schemeClr val="lt1"/>
                </a:solidFill>
              </a:ln>
              <a:effectLst/>
            </c:spPr>
            <c:extLst>
              <c:ext xmlns:c16="http://schemas.microsoft.com/office/drawing/2014/chart" uri="{C3380CC4-5D6E-409C-BE32-E72D297353CC}">
                <c16:uniqueId val="{00000007-F033-46DD-B176-DD784FD4A25C}"/>
              </c:ext>
            </c:extLst>
          </c:dPt>
          <c:dPt>
            <c:idx val="4"/>
            <c:bubble3D val="0"/>
            <c:spPr>
              <a:solidFill>
                <a:srgbClr val="F7D0E6"/>
              </a:solidFill>
              <a:ln w="19050">
                <a:solidFill>
                  <a:schemeClr val="lt1"/>
                </a:solidFill>
              </a:ln>
              <a:effectLst/>
            </c:spPr>
            <c:extLst>
              <c:ext xmlns:c16="http://schemas.microsoft.com/office/drawing/2014/chart" uri="{C3380CC4-5D6E-409C-BE32-E72D297353CC}">
                <c16:uniqueId val="{00000009-F033-46DD-B176-DD784FD4A25C}"/>
              </c:ext>
            </c:extLst>
          </c:dPt>
          <c:dPt>
            <c:idx val="5"/>
            <c:bubble3D val="0"/>
            <c:spPr>
              <a:solidFill>
                <a:srgbClr val="FBE7F2"/>
              </a:solidFill>
              <a:ln w="19050">
                <a:solidFill>
                  <a:schemeClr val="lt1"/>
                </a:solidFill>
              </a:ln>
              <a:effectLst/>
            </c:spPr>
            <c:extLst>
              <c:ext xmlns:c16="http://schemas.microsoft.com/office/drawing/2014/chart" uri="{C3380CC4-5D6E-409C-BE32-E72D297353CC}">
                <c16:uniqueId val="{0000000B-F033-46DD-B176-DD784FD4A25C}"/>
              </c:ext>
            </c:extLst>
          </c:dPt>
          <c:cat>
            <c:strRef>
              <c:f>Calculations!$H$35:$H$40</c:f>
              <c:strCache>
                <c:ptCount val="6"/>
                <c:pt idx="0">
                  <c:v>Food</c:v>
                </c:pt>
                <c:pt idx="1">
                  <c:v>Housing</c:v>
                </c:pt>
                <c:pt idx="2">
                  <c:v>Transpoartation</c:v>
                </c:pt>
                <c:pt idx="5">
                  <c:v>Other</c:v>
                </c:pt>
              </c:strCache>
            </c:strRef>
          </c:cat>
          <c:val>
            <c:numRef>
              <c:f>Calculations!$I$35:$I$40</c:f>
              <c:numCache>
                <c:formatCode>_(* #,##0_);_(* \(#,##0\);_(* "-"_);_(@_)</c:formatCode>
                <c:ptCount val="6"/>
                <c:pt idx="0">
                  <c:v>180000</c:v>
                </c:pt>
                <c:pt idx="1">
                  <c:v>100000</c:v>
                </c:pt>
                <c:pt idx="2">
                  <c:v>5000</c:v>
                </c:pt>
                <c:pt idx="3">
                  <c:v>0</c:v>
                </c:pt>
                <c:pt idx="4">
                  <c:v>0</c:v>
                </c:pt>
                <c:pt idx="5">
                  <c:v>17000</c:v>
                </c:pt>
              </c:numCache>
            </c:numRef>
          </c:val>
          <c:extLst>
            <c:ext xmlns:c16="http://schemas.microsoft.com/office/drawing/2014/chart" uri="{C3380CC4-5D6E-409C-BE32-E72D297353CC}">
              <c16:uniqueId val="{0000000C-F033-46DD-B176-DD784FD4A25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D19108"/>
              </a:solidFill>
              <a:ln w="19050">
                <a:solidFill>
                  <a:schemeClr val="lt1"/>
                </a:solidFill>
              </a:ln>
              <a:effectLst/>
            </c:spPr>
            <c:extLst>
              <c:ext xmlns:c16="http://schemas.microsoft.com/office/drawing/2014/chart" uri="{C3380CC4-5D6E-409C-BE32-E72D297353CC}">
                <c16:uniqueId val="{00000001-DABB-43FE-8182-AD0BDC1BD04E}"/>
              </c:ext>
            </c:extLst>
          </c:dPt>
          <c:dPt>
            <c:idx val="1"/>
            <c:bubble3D val="0"/>
            <c:spPr>
              <a:solidFill>
                <a:srgbClr val="DAA739"/>
              </a:solidFill>
              <a:ln w="19050">
                <a:solidFill>
                  <a:schemeClr val="lt1"/>
                </a:solidFill>
              </a:ln>
              <a:effectLst/>
            </c:spPr>
            <c:extLst>
              <c:ext xmlns:c16="http://schemas.microsoft.com/office/drawing/2014/chart" uri="{C3380CC4-5D6E-409C-BE32-E72D297353CC}">
                <c16:uniqueId val="{00000003-DABB-43FE-8182-AD0BDC1BD04E}"/>
              </c:ext>
            </c:extLst>
          </c:dPt>
          <c:dPt>
            <c:idx val="2"/>
            <c:bubble3D val="0"/>
            <c:spPr>
              <a:solidFill>
                <a:srgbClr val="E3BD6A"/>
              </a:solidFill>
              <a:ln w="19050">
                <a:solidFill>
                  <a:schemeClr val="lt1"/>
                </a:solidFill>
              </a:ln>
              <a:effectLst/>
            </c:spPr>
            <c:extLst>
              <c:ext xmlns:c16="http://schemas.microsoft.com/office/drawing/2014/chart" uri="{C3380CC4-5D6E-409C-BE32-E72D297353CC}">
                <c16:uniqueId val="{00000005-DABB-43FE-8182-AD0BDC1BD04E}"/>
              </c:ext>
            </c:extLst>
          </c:dPt>
          <c:dPt>
            <c:idx val="3"/>
            <c:bubble3D val="0"/>
            <c:spPr>
              <a:solidFill>
                <a:srgbClr val="ECD39C"/>
              </a:solidFill>
              <a:ln w="19050">
                <a:solidFill>
                  <a:schemeClr val="lt1"/>
                </a:solidFill>
              </a:ln>
              <a:effectLst/>
            </c:spPr>
            <c:extLst>
              <c:ext xmlns:c16="http://schemas.microsoft.com/office/drawing/2014/chart" uri="{C3380CC4-5D6E-409C-BE32-E72D297353CC}">
                <c16:uniqueId val="{00000007-DABB-43FE-8182-AD0BDC1BD04E}"/>
              </c:ext>
            </c:extLst>
          </c:dPt>
          <c:dPt>
            <c:idx val="4"/>
            <c:bubble3D val="0"/>
            <c:spPr>
              <a:solidFill>
                <a:srgbClr val="F5E9CD"/>
              </a:solidFill>
              <a:ln w="19050">
                <a:solidFill>
                  <a:schemeClr val="lt1"/>
                </a:solidFill>
              </a:ln>
              <a:effectLst/>
            </c:spPr>
            <c:extLst>
              <c:ext xmlns:c16="http://schemas.microsoft.com/office/drawing/2014/chart" uri="{C3380CC4-5D6E-409C-BE32-E72D297353CC}">
                <c16:uniqueId val="{00000009-DABB-43FE-8182-AD0BDC1BD04E}"/>
              </c:ext>
            </c:extLst>
          </c:dPt>
          <c:dPt>
            <c:idx val="5"/>
            <c:bubble3D val="0"/>
            <c:spPr>
              <a:solidFill>
                <a:srgbClr val="FAF4E6"/>
              </a:solidFill>
              <a:ln w="19050">
                <a:solidFill>
                  <a:schemeClr val="lt1"/>
                </a:solidFill>
              </a:ln>
              <a:effectLst/>
            </c:spPr>
            <c:extLst>
              <c:ext xmlns:c16="http://schemas.microsoft.com/office/drawing/2014/chart" uri="{C3380CC4-5D6E-409C-BE32-E72D297353CC}">
                <c16:uniqueId val="{0000000B-DABB-43FE-8182-AD0BDC1BD04E}"/>
              </c:ext>
            </c:extLst>
          </c:dPt>
          <c:cat>
            <c:strRef>
              <c:f>Calculations!$L$35:$L$40</c:f>
              <c:strCache>
                <c:ptCount val="2"/>
                <c:pt idx="0">
                  <c:v>Retirement</c:v>
                </c:pt>
                <c:pt idx="1">
                  <c:v>Investment Savings</c:v>
                </c:pt>
              </c:strCache>
            </c:strRef>
          </c:cat>
          <c:val>
            <c:numRef>
              <c:f>Calculations!$M$35:$M$40</c:f>
              <c:numCache>
                <c:formatCode>_(* #,##0_);_(* \(#,##0\);_(* "-"_);_(@_)</c:formatCode>
                <c:ptCount val="6"/>
                <c:pt idx="0">
                  <c:v>25000</c:v>
                </c:pt>
                <c:pt idx="1">
                  <c:v>20000</c:v>
                </c:pt>
                <c:pt idx="2">
                  <c:v>0</c:v>
                </c:pt>
                <c:pt idx="3">
                  <c:v>0</c:v>
                </c:pt>
                <c:pt idx="4">
                  <c:v>0</c:v>
                </c:pt>
                <c:pt idx="5">
                  <c:v>0</c:v>
                </c:pt>
              </c:numCache>
            </c:numRef>
          </c:val>
          <c:extLst>
            <c:ext xmlns:c16="http://schemas.microsoft.com/office/drawing/2014/chart" uri="{C3380CC4-5D6E-409C-BE32-E72D297353CC}">
              <c16:uniqueId val="{0000000C-DABB-43FE-8182-AD0BDC1BD0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61449422111036"/>
          <c:y val="3.8423642339424975E-2"/>
          <c:w val="0.86061317819010286"/>
          <c:h val="0.78099633210532315"/>
        </c:manualLayout>
      </c:layout>
      <c:barChart>
        <c:barDir val="col"/>
        <c:grouping val="stacked"/>
        <c:varyColors val="0"/>
        <c:ser>
          <c:idx val="0"/>
          <c:order val="0"/>
          <c:spPr>
            <a:solidFill>
              <a:schemeClr val="accent3">
                <a:lumMod val="60000"/>
                <a:lumOff val="40000"/>
              </a:schemeClr>
            </a:solidFill>
            <a:ln>
              <a:noFill/>
            </a:ln>
            <a:effectLst/>
          </c:spPr>
          <c:invertIfNegative val="0"/>
          <c:dPt>
            <c:idx val="1"/>
            <c:invertIfNegative val="0"/>
            <c:bubble3D val="0"/>
            <c:spPr>
              <a:solidFill>
                <a:srgbClr val="E35DA8"/>
              </a:solidFill>
              <a:ln>
                <a:noFill/>
              </a:ln>
              <a:effectLst/>
            </c:spPr>
            <c:extLst>
              <c:ext xmlns:c16="http://schemas.microsoft.com/office/drawing/2014/chart" uri="{C3380CC4-5D6E-409C-BE32-E72D297353CC}">
                <c16:uniqueId val="{00000001-16AD-4544-9046-F2B0590D0D2D}"/>
              </c:ext>
            </c:extLst>
          </c:dPt>
          <c:dPt>
            <c:idx val="2"/>
            <c:invertIfNegative val="0"/>
            <c:bubble3D val="0"/>
            <c:spPr>
              <a:solidFill>
                <a:srgbClr val="DEB252"/>
              </a:solidFill>
              <a:ln>
                <a:noFill/>
              </a:ln>
              <a:effectLst/>
            </c:spPr>
            <c:extLst>
              <c:ext xmlns:c16="http://schemas.microsoft.com/office/drawing/2014/chart" uri="{C3380CC4-5D6E-409C-BE32-E72D297353CC}">
                <c16:uniqueId val="{00000003-16AD-4544-9046-F2B0590D0D2D}"/>
              </c:ext>
            </c:extLst>
          </c:dPt>
          <c:dPt>
            <c:idx val="5"/>
            <c:invertIfNegative val="0"/>
            <c:bubble3D val="0"/>
            <c:spPr>
              <a:solidFill>
                <a:srgbClr val="E35DA8"/>
              </a:solidFill>
              <a:ln>
                <a:noFill/>
              </a:ln>
              <a:effectLst/>
            </c:spPr>
            <c:extLst>
              <c:ext xmlns:c16="http://schemas.microsoft.com/office/drawing/2014/chart" uri="{C3380CC4-5D6E-409C-BE32-E72D297353CC}">
                <c16:uniqueId val="{00000005-16AD-4544-9046-F2B0590D0D2D}"/>
              </c:ext>
            </c:extLst>
          </c:dPt>
          <c:dPt>
            <c:idx val="6"/>
            <c:invertIfNegative val="0"/>
            <c:bubble3D val="0"/>
            <c:spPr>
              <a:solidFill>
                <a:srgbClr val="DEB252"/>
              </a:solidFill>
              <a:ln>
                <a:noFill/>
              </a:ln>
              <a:effectLst/>
            </c:spPr>
            <c:extLst>
              <c:ext xmlns:c16="http://schemas.microsoft.com/office/drawing/2014/chart" uri="{C3380CC4-5D6E-409C-BE32-E72D297353CC}">
                <c16:uniqueId val="{00000007-16AD-4544-9046-F2B0590D0D2D}"/>
              </c:ext>
            </c:extLst>
          </c:dPt>
          <c:dPt>
            <c:idx val="9"/>
            <c:invertIfNegative val="0"/>
            <c:bubble3D val="0"/>
            <c:spPr>
              <a:solidFill>
                <a:srgbClr val="E35DA8"/>
              </a:solidFill>
              <a:ln>
                <a:noFill/>
              </a:ln>
              <a:effectLst/>
            </c:spPr>
            <c:extLst>
              <c:ext xmlns:c16="http://schemas.microsoft.com/office/drawing/2014/chart" uri="{C3380CC4-5D6E-409C-BE32-E72D297353CC}">
                <c16:uniqueId val="{00000009-16AD-4544-9046-F2B0590D0D2D}"/>
              </c:ext>
            </c:extLst>
          </c:dPt>
          <c:dPt>
            <c:idx val="10"/>
            <c:invertIfNegative val="0"/>
            <c:bubble3D val="0"/>
            <c:spPr>
              <a:solidFill>
                <a:srgbClr val="DEB252"/>
              </a:solidFill>
              <a:ln>
                <a:noFill/>
              </a:ln>
              <a:effectLst/>
            </c:spPr>
            <c:extLst>
              <c:ext xmlns:c16="http://schemas.microsoft.com/office/drawing/2014/chart" uri="{C3380CC4-5D6E-409C-BE32-E72D297353CC}">
                <c16:uniqueId val="{0000000B-16AD-4544-9046-F2B0590D0D2D}"/>
              </c:ext>
            </c:extLst>
          </c:dPt>
          <c:dPt>
            <c:idx val="13"/>
            <c:invertIfNegative val="0"/>
            <c:bubble3D val="0"/>
            <c:spPr>
              <a:solidFill>
                <a:srgbClr val="E35DA8"/>
              </a:solidFill>
              <a:ln>
                <a:noFill/>
              </a:ln>
              <a:effectLst/>
            </c:spPr>
            <c:extLst>
              <c:ext xmlns:c16="http://schemas.microsoft.com/office/drawing/2014/chart" uri="{C3380CC4-5D6E-409C-BE32-E72D297353CC}">
                <c16:uniqueId val="{0000000D-16AD-4544-9046-F2B0590D0D2D}"/>
              </c:ext>
            </c:extLst>
          </c:dPt>
          <c:dPt>
            <c:idx val="14"/>
            <c:invertIfNegative val="0"/>
            <c:bubble3D val="0"/>
            <c:spPr>
              <a:solidFill>
                <a:srgbClr val="DEB252"/>
              </a:solidFill>
              <a:ln>
                <a:noFill/>
              </a:ln>
              <a:effectLst/>
            </c:spPr>
            <c:extLst>
              <c:ext xmlns:c16="http://schemas.microsoft.com/office/drawing/2014/chart" uri="{C3380CC4-5D6E-409C-BE32-E72D297353CC}">
                <c16:uniqueId val="{0000000F-16AD-4544-9046-F2B0590D0D2D}"/>
              </c:ext>
            </c:extLst>
          </c:dPt>
          <c:dPt>
            <c:idx val="17"/>
            <c:invertIfNegative val="0"/>
            <c:bubble3D val="0"/>
            <c:spPr>
              <a:solidFill>
                <a:srgbClr val="E35DA8"/>
              </a:solidFill>
              <a:ln>
                <a:noFill/>
              </a:ln>
              <a:effectLst/>
            </c:spPr>
            <c:extLst>
              <c:ext xmlns:c16="http://schemas.microsoft.com/office/drawing/2014/chart" uri="{C3380CC4-5D6E-409C-BE32-E72D297353CC}">
                <c16:uniqueId val="{00000011-16AD-4544-9046-F2B0590D0D2D}"/>
              </c:ext>
            </c:extLst>
          </c:dPt>
          <c:dPt>
            <c:idx val="18"/>
            <c:invertIfNegative val="0"/>
            <c:bubble3D val="0"/>
            <c:spPr>
              <a:solidFill>
                <a:srgbClr val="DEB252"/>
              </a:solidFill>
              <a:ln>
                <a:noFill/>
              </a:ln>
              <a:effectLst/>
            </c:spPr>
            <c:extLst>
              <c:ext xmlns:c16="http://schemas.microsoft.com/office/drawing/2014/chart" uri="{C3380CC4-5D6E-409C-BE32-E72D297353CC}">
                <c16:uniqueId val="{00000013-16AD-4544-9046-F2B0590D0D2D}"/>
              </c:ext>
            </c:extLst>
          </c:dPt>
          <c:dPt>
            <c:idx val="21"/>
            <c:invertIfNegative val="0"/>
            <c:bubble3D val="0"/>
            <c:spPr>
              <a:solidFill>
                <a:srgbClr val="E35DA8"/>
              </a:solidFill>
              <a:ln>
                <a:noFill/>
              </a:ln>
              <a:effectLst/>
            </c:spPr>
            <c:extLst>
              <c:ext xmlns:c16="http://schemas.microsoft.com/office/drawing/2014/chart" uri="{C3380CC4-5D6E-409C-BE32-E72D297353CC}">
                <c16:uniqueId val="{00000015-16AD-4544-9046-F2B0590D0D2D}"/>
              </c:ext>
            </c:extLst>
          </c:dPt>
          <c:dPt>
            <c:idx val="22"/>
            <c:invertIfNegative val="0"/>
            <c:bubble3D val="0"/>
            <c:spPr>
              <a:solidFill>
                <a:srgbClr val="DEB252"/>
              </a:solidFill>
              <a:ln>
                <a:noFill/>
              </a:ln>
              <a:effectLst/>
            </c:spPr>
            <c:extLst>
              <c:ext xmlns:c16="http://schemas.microsoft.com/office/drawing/2014/chart" uri="{C3380CC4-5D6E-409C-BE32-E72D297353CC}">
                <c16:uniqueId val="{00000017-16AD-4544-9046-F2B0590D0D2D}"/>
              </c:ext>
            </c:extLst>
          </c:dPt>
          <c:dPt>
            <c:idx val="25"/>
            <c:invertIfNegative val="0"/>
            <c:bubble3D val="0"/>
            <c:spPr>
              <a:solidFill>
                <a:srgbClr val="E35DA8"/>
              </a:solidFill>
              <a:ln>
                <a:noFill/>
              </a:ln>
              <a:effectLst/>
            </c:spPr>
            <c:extLst>
              <c:ext xmlns:c16="http://schemas.microsoft.com/office/drawing/2014/chart" uri="{C3380CC4-5D6E-409C-BE32-E72D297353CC}">
                <c16:uniqueId val="{00000019-16AD-4544-9046-F2B0590D0D2D}"/>
              </c:ext>
            </c:extLst>
          </c:dPt>
          <c:dPt>
            <c:idx val="26"/>
            <c:invertIfNegative val="0"/>
            <c:bubble3D val="0"/>
            <c:spPr>
              <a:solidFill>
                <a:srgbClr val="DEB252"/>
              </a:solidFill>
              <a:ln>
                <a:noFill/>
              </a:ln>
              <a:effectLst/>
            </c:spPr>
            <c:extLst>
              <c:ext xmlns:c16="http://schemas.microsoft.com/office/drawing/2014/chart" uri="{C3380CC4-5D6E-409C-BE32-E72D297353CC}">
                <c16:uniqueId val="{0000001B-16AD-4544-9046-F2B0590D0D2D}"/>
              </c:ext>
            </c:extLst>
          </c:dPt>
          <c:dPt>
            <c:idx val="29"/>
            <c:invertIfNegative val="0"/>
            <c:bubble3D val="0"/>
            <c:spPr>
              <a:solidFill>
                <a:srgbClr val="E35DA8"/>
              </a:solidFill>
              <a:ln>
                <a:noFill/>
              </a:ln>
              <a:effectLst/>
            </c:spPr>
            <c:extLst>
              <c:ext xmlns:c16="http://schemas.microsoft.com/office/drawing/2014/chart" uri="{C3380CC4-5D6E-409C-BE32-E72D297353CC}">
                <c16:uniqueId val="{0000001D-16AD-4544-9046-F2B0590D0D2D}"/>
              </c:ext>
            </c:extLst>
          </c:dPt>
          <c:dPt>
            <c:idx val="30"/>
            <c:invertIfNegative val="0"/>
            <c:bubble3D val="0"/>
            <c:spPr>
              <a:solidFill>
                <a:srgbClr val="DEB252"/>
              </a:solidFill>
              <a:ln>
                <a:noFill/>
              </a:ln>
              <a:effectLst/>
            </c:spPr>
            <c:extLst>
              <c:ext xmlns:c16="http://schemas.microsoft.com/office/drawing/2014/chart" uri="{C3380CC4-5D6E-409C-BE32-E72D297353CC}">
                <c16:uniqueId val="{0000001F-16AD-4544-9046-F2B0590D0D2D}"/>
              </c:ext>
            </c:extLst>
          </c:dPt>
          <c:dPt>
            <c:idx val="33"/>
            <c:invertIfNegative val="0"/>
            <c:bubble3D val="0"/>
            <c:spPr>
              <a:solidFill>
                <a:srgbClr val="E35DA8"/>
              </a:solidFill>
              <a:ln>
                <a:noFill/>
              </a:ln>
              <a:effectLst/>
            </c:spPr>
            <c:extLst>
              <c:ext xmlns:c16="http://schemas.microsoft.com/office/drawing/2014/chart" uri="{C3380CC4-5D6E-409C-BE32-E72D297353CC}">
                <c16:uniqueId val="{00000021-16AD-4544-9046-F2B0590D0D2D}"/>
              </c:ext>
            </c:extLst>
          </c:dPt>
          <c:dPt>
            <c:idx val="34"/>
            <c:invertIfNegative val="0"/>
            <c:bubble3D val="0"/>
            <c:spPr>
              <a:solidFill>
                <a:srgbClr val="DEB252"/>
              </a:solidFill>
              <a:ln>
                <a:noFill/>
              </a:ln>
              <a:effectLst/>
            </c:spPr>
            <c:extLst>
              <c:ext xmlns:c16="http://schemas.microsoft.com/office/drawing/2014/chart" uri="{C3380CC4-5D6E-409C-BE32-E72D297353CC}">
                <c16:uniqueId val="{00000023-16AD-4544-9046-F2B0590D0D2D}"/>
              </c:ext>
            </c:extLst>
          </c:dPt>
          <c:dPt>
            <c:idx val="37"/>
            <c:invertIfNegative val="0"/>
            <c:bubble3D val="0"/>
            <c:spPr>
              <a:solidFill>
                <a:srgbClr val="E35DA8"/>
              </a:solidFill>
              <a:ln>
                <a:noFill/>
              </a:ln>
              <a:effectLst/>
            </c:spPr>
            <c:extLst>
              <c:ext xmlns:c16="http://schemas.microsoft.com/office/drawing/2014/chart" uri="{C3380CC4-5D6E-409C-BE32-E72D297353CC}">
                <c16:uniqueId val="{00000025-16AD-4544-9046-F2B0590D0D2D}"/>
              </c:ext>
            </c:extLst>
          </c:dPt>
          <c:dPt>
            <c:idx val="38"/>
            <c:invertIfNegative val="0"/>
            <c:bubble3D val="0"/>
            <c:spPr>
              <a:solidFill>
                <a:srgbClr val="DEB252"/>
              </a:solidFill>
              <a:ln>
                <a:noFill/>
              </a:ln>
              <a:effectLst/>
            </c:spPr>
            <c:extLst>
              <c:ext xmlns:c16="http://schemas.microsoft.com/office/drawing/2014/chart" uri="{C3380CC4-5D6E-409C-BE32-E72D297353CC}">
                <c16:uniqueId val="{00000027-16AD-4544-9046-F2B0590D0D2D}"/>
              </c:ext>
            </c:extLst>
          </c:dPt>
          <c:dPt>
            <c:idx val="41"/>
            <c:invertIfNegative val="0"/>
            <c:bubble3D val="0"/>
            <c:spPr>
              <a:solidFill>
                <a:srgbClr val="E35DA8"/>
              </a:solidFill>
              <a:ln>
                <a:noFill/>
              </a:ln>
              <a:effectLst/>
            </c:spPr>
            <c:extLst>
              <c:ext xmlns:c16="http://schemas.microsoft.com/office/drawing/2014/chart" uri="{C3380CC4-5D6E-409C-BE32-E72D297353CC}">
                <c16:uniqueId val="{00000029-16AD-4544-9046-F2B0590D0D2D}"/>
              </c:ext>
            </c:extLst>
          </c:dPt>
          <c:dPt>
            <c:idx val="42"/>
            <c:invertIfNegative val="0"/>
            <c:bubble3D val="0"/>
            <c:spPr>
              <a:solidFill>
                <a:srgbClr val="DEB252"/>
              </a:solidFill>
              <a:ln>
                <a:noFill/>
              </a:ln>
              <a:effectLst/>
            </c:spPr>
            <c:extLst>
              <c:ext xmlns:c16="http://schemas.microsoft.com/office/drawing/2014/chart" uri="{C3380CC4-5D6E-409C-BE32-E72D297353CC}">
                <c16:uniqueId val="{0000002B-16AD-4544-9046-F2B0590D0D2D}"/>
              </c:ext>
            </c:extLst>
          </c:dPt>
          <c:dPt>
            <c:idx val="45"/>
            <c:invertIfNegative val="0"/>
            <c:bubble3D val="0"/>
            <c:spPr>
              <a:solidFill>
                <a:srgbClr val="E35DA8"/>
              </a:solidFill>
              <a:ln>
                <a:noFill/>
              </a:ln>
              <a:effectLst/>
            </c:spPr>
            <c:extLst>
              <c:ext xmlns:c16="http://schemas.microsoft.com/office/drawing/2014/chart" uri="{C3380CC4-5D6E-409C-BE32-E72D297353CC}">
                <c16:uniqueId val="{0000002D-16AD-4544-9046-F2B0590D0D2D}"/>
              </c:ext>
            </c:extLst>
          </c:dPt>
          <c:dPt>
            <c:idx val="46"/>
            <c:invertIfNegative val="0"/>
            <c:bubble3D val="0"/>
            <c:spPr>
              <a:solidFill>
                <a:srgbClr val="DEB252"/>
              </a:solidFill>
              <a:ln>
                <a:noFill/>
              </a:ln>
              <a:effectLst/>
            </c:spPr>
            <c:extLst>
              <c:ext xmlns:c16="http://schemas.microsoft.com/office/drawing/2014/chart" uri="{C3380CC4-5D6E-409C-BE32-E72D297353CC}">
                <c16:uniqueId val="{0000002F-16AD-4544-9046-F2B0590D0D2D}"/>
              </c:ext>
            </c:extLst>
          </c:dPt>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Calculations!$M$55:$M$102</c:f>
              <c:numCache>
                <c:formatCode>_-* #,##0_-;\-* #,##0_-;_-* "-"??_-;_-@_-</c:formatCode>
                <c:ptCount val="48"/>
                <c:pt idx="0">
                  <c:v>100000</c:v>
                </c:pt>
                <c:pt idx="1">
                  <c:v>22000</c:v>
                </c:pt>
                <c:pt idx="2">
                  <c:v>0</c:v>
                </c:pt>
                <c:pt idx="4">
                  <c:v>0</c:v>
                </c:pt>
                <c:pt idx="5">
                  <c:v>22000</c:v>
                </c:pt>
                <c:pt idx="6">
                  <c:v>0</c:v>
                </c:pt>
                <c:pt idx="8">
                  <c:v>170000</c:v>
                </c:pt>
                <c:pt idx="9">
                  <c:v>72000</c:v>
                </c:pt>
                <c:pt idx="10">
                  <c:v>10000</c:v>
                </c:pt>
                <c:pt idx="12">
                  <c:v>100000</c:v>
                </c:pt>
                <c:pt idx="13">
                  <c:v>22000</c:v>
                </c:pt>
                <c:pt idx="14">
                  <c:v>0</c:v>
                </c:pt>
                <c:pt idx="16">
                  <c:v>100000</c:v>
                </c:pt>
                <c:pt idx="17">
                  <c:v>22000</c:v>
                </c:pt>
                <c:pt idx="18">
                  <c:v>0</c:v>
                </c:pt>
                <c:pt idx="20">
                  <c:v>0</c:v>
                </c:pt>
                <c:pt idx="21">
                  <c:v>72000</c:v>
                </c:pt>
                <c:pt idx="22">
                  <c:v>5000</c:v>
                </c:pt>
                <c:pt idx="24">
                  <c:v>102000</c:v>
                </c:pt>
                <c:pt idx="25">
                  <c:v>22000</c:v>
                </c:pt>
                <c:pt idx="26">
                  <c:v>0</c:v>
                </c:pt>
                <c:pt idx="28">
                  <c:v>170000</c:v>
                </c:pt>
                <c:pt idx="29">
                  <c:v>22000</c:v>
                </c:pt>
                <c:pt idx="30">
                  <c:v>20000</c:v>
                </c:pt>
                <c:pt idx="32">
                  <c:v>6000</c:v>
                </c:pt>
                <c:pt idx="33">
                  <c:v>26000</c:v>
                </c:pt>
                <c:pt idx="34">
                  <c:v>9000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16AD-4544-9046-F2B0590D0D2D}"/>
            </c:ext>
          </c:extLst>
        </c:ser>
        <c:ser>
          <c:idx val="1"/>
          <c:order val="1"/>
          <c:spPr>
            <a:solidFill>
              <a:schemeClr val="accent3">
                <a:lumMod val="20000"/>
                <a:lumOff val="80000"/>
              </a:schemeClr>
            </a:solidFill>
            <a:ln>
              <a:noFill/>
            </a:ln>
            <a:effectLst/>
          </c:spPr>
          <c:invertIfNegative val="0"/>
          <c:dPt>
            <c:idx val="1"/>
            <c:invertIfNegative val="0"/>
            <c:bubble3D val="0"/>
            <c:spPr>
              <a:solidFill>
                <a:srgbClr val="EFA2CD"/>
              </a:solidFill>
              <a:ln>
                <a:noFill/>
              </a:ln>
              <a:effectLst/>
            </c:spPr>
            <c:extLst>
              <c:ext xmlns:c16="http://schemas.microsoft.com/office/drawing/2014/chart" uri="{C3380CC4-5D6E-409C-BE32-E72D297353CC}">
                <c16:uniqueId val="{00000032-16AD-4544-9046-F2B0590D0D2D}"/>
              </c:ext>
            </c:extLst>
          </c:dPt>
          <c:dPt>
            <c:idx val="2"/>
            <c:invertIfNegative val="0"/>
            <c:bubble3D val="0"/>
            <c:spPr>
              <a:solidFill>
                <a:srgbClr val="ECD39C"/>
              </a:solidFill>
              <a:ln>
                <a:noFill/>
              </a:ln>
              <a:effectLst/>
            </c:spPr>
            <c:extLst>
              <c:ext xmlns:c16="http://schemas.microsoft.com/office/drawing/2014/chart" uri="{C3380CC4-5D6E-409C-BE32-E72D297353CC}">
                <c16:uniqueId val="{00000034-16AD-4544-9046-F2B0590D0D2D}"/>
              </c:ext>
            </c:extLst>
          </c:dPt>
          <c:dPt>
            <c:idx val="5"/>
            <c:invertIfNegative val="0"/>
            <c:bubble3D val="0"/>
            <c:spPr>
              <a:solidFill>
                <a:srgbClr val="EFA2CD"/>
              </a:solidFill>
              <a:ln>
                <a:noFill/>
              </a:ln>
              <a:effectLst/>
            </c:spPr>
            <c:extLst>
              <c:ext xmlns:c16="http://schemas.microsoft.com/office/drawing/2014/chart" uri="{C3380CC4-5D6E-409C-BE32-E72D297353CC}">
                <c16:uniqueId val="{00000036-16AD-4544-9046-F2B0590D0D2D}"/>
              </c:ext>
            </c:extLst>
          </c:dPt>
          <c:dPt>
            <c:idx val="6"/>
            <c:invertIfNegative val="0"/>
            <c:bubble3D val="0"/>
            <c:spPr>
              <a:solidFill>
                <a:srgbClr val="ECD39C"/>
              </a:solidFill>
              <a:ln>
                <a:noFill/>
              </a:ln>
              <a:effectLst/>
            </c:spPr>
            <c:extLst>
              <c:ext xmlns:c16="http://schemas.microsoft.com/office/drawing/2014/chart" uri="{C3380CC4-5D6E-409C-BE32-E72D297353CC}">
                <c16:uniqueId val="{00000038-16AD-4544-9046-F2B0590D0D2D}"/>
              </c:ext>
            </c:extLst>
          </c:dPt>
          <c:dPt>
            <c:idx val="9"/>
            <c:invertIfNegative val="0"/>
            <c:bubble3D val="0"/>
            <c:spPr>
              <a:solidFill>
                <a:srgbClr val="EFA2CD"/>
              </a:solidFill>
              <a:ln>
                <a:noFill/>
              </a:ln>
              <a:effectLst/>
            </c:spPr>
            <c:extLst>
              <c:ext xmlns:c16="http://schemas.microsoft.com/office/drawing/2014/chart" uri="{C3380CC4-5D6E-409C-BE32-E72D297353CC}">
                <c16:uniqueId val="{0000003A-16AD-4544-9046-F2B0590D0D2D}"/>
              </c:ext>
            </c:extLst>
          </c:dPt>
          <c:dPt>
            <c:idx val="10"/>
            <c:invertIfNegative val="0"/>
            <c:bubble3D val="0"/>
            <c:spPr>
              <a:solidFill>
                <a:srgbClr val="ECD39C"/>
              </a:solidFill>
              <a:ln>
                <a:noFill/>
              </a:ln>
              <a:effectLst/>
            </c:spPr>
            <c:extLst>
              <c:ext xmlns:c16="http://schemas.microsoft.com/office/drawing/2014/chart" uri="{C3380CC4-5D6E-409C-BE32-E72D297353CC}">
                <c16:uniqueId val="{0000003C-16AD-4544-9046-F2B0590D0D2D}"/>
              </c:ext>
            </c:extLst>
          </c:dPt>
          <c:dPt>
            <c:idx val="13"/>
            <c:invertIfNegative val="0"/>
            <c:bubble3D val="0"/>
            <c:spPr>
              <a:solidFill>
                <a:srgbClr val="EFA2CD"/>
              </a:solidFill>
              <a:ln>
                <a:noFill/>
              </a:ln>
              <a:effectLst/>
            </c:spPr>
            <c:extLst>
              <c:ext xmlns:c16="http://schemas.microsoft.com/office/drawing/2014/chart" uri="{C3380CC4-5D6E-409C-BE32-E72D297353CC}">
                <c16:uniqueId val="{0000003E-16AD-4544-9046-F2B0590D0D2D}"/>
              </c:ext>
            </c:extLst>
          </c:dPt>
          <c:dPt>
            <c:idx val="14"/>
            <c:invertIfNegative val="0"/>
            <c:bubble3D val="0"/>
            <c:spPr>
              <a:solidFill>
                <a:srgbClr val="ECD39C"/>
              </a:solidFill>
              <a:ln>
                <a:noFill/>
              </a:ln>
              <a:effectLst/>
            </c:spPr>
            <c:extLst>
              <c:ext xmlns:c16="http://schemas.microsoft.com/office/drawing/2014/chart" uri="{C3380CC4-5D6E-409C-BE32-E72D297353CC}">
                <c16:uniqueId val="{00000040-16AD-4544-9046-F2B0590D0D2D}"/>
              </c:ext>
            </c:extLst>
          </c:dPt>
          <c:dPt>
            <c:idx val="17"/>
            <c:invertIfNegative val="0"/>
            <c:bubble3D val="0"/>
            <c:spPr>
              <a:solidFill>
                <a:srgbClr val="EFA2CD"/>
              </a:solidFill>
              <a:ln>
                <a:noFill/>
              </a:ln>
              <a:effectLst/>
            </c:spPr>
            <c:extLst>
              <c:ext xmlns:c16="http://schemas.microsoft.com/office/drawing/2014/chart" uri="{C3380CC4-5D6E-409C-BE32-E72D297353CC}">
                <c16:uniqueId val="{00000042-16AD-4544-9046-F2B0590D0D2D}"/>
              </c:ext>
            </c:extLst>
          </c:dPt>
          <c:dPt>
            <c:idx val="18"/>
            <c:invertIfNegative val="0"/>
            <c:bubble3D val="0"/>
            <c:spPr>
              <a:solidFill>
                <a:srgbClr val="ECD39C"/>
              </a:solidFill>
              <a:ln>
                <a:noFill/>
              </a:ln>
              <a:effectLst/>
            </c:spPr>
            <c:extLst>
              <c:ext xmlns:c16="http://schemas.microsoft.com/office/drawing/2014/chart" uri="{C3380CC4-5D6E-409C-BE32-E72D297353CC}">
                <c16:uniqueId val="{00000044-16AD-4544-9046-F2B0590D0D2D}"/>
              </c:ext>
            </c:extLst>
          </c:dPt>
          <c:dPt>
            <c:idx val="21"/>
            <c:invertIfNegative val="0"/>
            <c:bubble3D val="0"/>
            <c:spPr>
              <a:solidFill>
                <a:srgbClr val="EFA2CD"/>
              </a:solidFill>
              <a:ln>
                <a:noFill/>
              </a:ln>
              <a:effectLst/>
            </c:spPr>
            <c:extLst>
              <c:ext xmlns:c16="http://schemas.microsoft.com/office/drawing/2014/chart" uri="{C3380CC4-5D6E-409C-BE32-E72D297353CC}">
                <c16:uniqueId val="{00000046-16AD-4544-9046-F2B0590D0D2D}"/>
              </c:ext>
            </c:extLst>
          </c:dPt>
          <c:dPt>
            <c:idx val="22"/>
            <c:invertIfNegative val="0"/>
            <c:bubble3D val="0"/>
            <c:spPr>
              <a:solidFill>
                <a:srgbClr val="ECD39C"/>
              </a:solidFill>
              <a:ln>
                <a:noFill/>
              </a:ln>
              <a:effectLst/>
            </c:spPr>
            <c:extLst>
              <c:ext xmlns:c16="http://schemas.microsoft.com/office/drawing/2014/chart" uri="{C3380CC4-5D6E-409C-BE32-E72D297353CC}">
                <c16:uniqueId val="{00000048-16AD-4544-9046-F2B0590D0D2D}"/>
              </c:ext>
            </c:extLst>
          </c:dPt>
          <c:dPt>
            <c:idx val="25"/>
            <c:invertIfNegative val="0"/>
            <c:bubble3D val="0"/>
            <c:spPr>
              <a:solidFill>
                <a:srgbClr val="EFA2CD"/>
              </a:solidFill>
              <a:ln>
                <a:noFill/>
              </a:ln>
              <a:effectLst/>
            </c:spPr>
            <c:extLst>
              <c:ext xmlns:c16="http://schemas.microsoft.com/office/drawing/2014/chart" uri="{C3380CC4-5D6E-409C-BE32-E72D297353CC}">
                <c16:uniqueId val="{0000004A-16AD-4544-9046-F2B0590D0D2D}"/>
              </c:ext>
            </c:extLst>
          </c:dPt>
          <c:dPt>
            <c:idx val="26"/>
            <c:invertIfNegative val="0"/>
            <c:bubble3D val="0"/>
            <c:spPr>
              <a:solidFill>
                <a:srgbClr val="ECD39C"/>
              </a:solidFill>
              <a:ln>
                <a:noFill/>
              </a:ln>
              <a:effectLst/>
            </c:spPr>
            <c:extLst>
              <c:ext xmlns:c16="http://schemas.microsoft.com/office/drawing/2014/chart" uri="{C3380CC4-5D6E-409C-BE32-E72D297353CC}">
                <c16:uniqueId val="{0000004C-16AD-4544-9046-F2B0590D0D2D}"/>
              </c:ext>
            </c:extLst>
          </c:dPt>
          <c:dPt>
            <c:idx val="29"/>
            <c:invertIfNegative val="0"/>
            <c:bubble3D val="0"/>
            <c:spPr>
              <a:solidFill>
                <a:srgbClr val="EFA2CD"/>
              </a:solidFill>
              <a:ln>
                <a:noFill/>
              </a:ln>
              <a:effectLst/>
            </c:spPr>
            <c:extLst>
              <c:ext xmlns:c16="http://schemas.microsoft.com/office/drawing/2014/chart" uri="{C3380CC4-5D6E-409C-BE32-E72D297353CC}">
                <c16:uniqueId val="{0000004E-16AD-4544-9046-F2B0590D0D2D}"/>
              </c:ext>
            </c:extLst>
          </c:dPt>
          <c:dPt>
            <c:idx val="30"/>
            <c:invertIfNegative val="0"/>
            <c:bubble3D val="0"/>
            <c:spPr>
              <a:solidFill>
                <a:srgbClr val="ECD39C"/>
              </a:solidFill>
              <a:ln>
                <a:noFill/>
              </a:ln>
              <a:effectLst/>
            </c:spPr>
            <c:extLst>
              <c:ext xmlns:c16="http://schemas.microsoft.com/office/drawing/2014/chart" uri="{C3380CC4-5D6E-409C-BE32-E72D297353CC}">
                <c16:uniqueId val="{00000050-16AD-4544-9046-F2B0590D0D2D}"/>
              </c:ext>
            </c:extLst>
          </c:dPt>
          <c:dPt>
            <c:idx val="33"/>
            <c:invertIfNegative val="0"/>
            <c:bubble3D val="0"/>
            <c:spPr>
              <a:solidFill>
                <a:srgbClr val="EFA2CD"/>
              </a:solidFill>
              <a:ln>
                <a:noFill/>
              </a:ln>
              <a:effectLst/>
            </c:spPr>
            <c:extLst>
              <c:ext xmlns:c16="http://schemas.microsoft.com/office/drawing/2014/chart" uri="{C3380CC4-5D6E-409C-BE32-E72D297353CC}">
                <c16:uniqueId val="{00000052-16AD-4544-9046-F2B0590D0D2D}"/>
              </c:ext>
            </c:extLst>
          </c:dPt>
          <c:dPt>
            <c:idx val="34"/>
            <c:invertIfNegative val="0"/>
            <c:bubble3D val="0"/>
            <c:spPr>
              <a:solidFill>
                <a:srgbClr val="ECD39C"/>
              </a:solidFill>
              <a:ln>
                <a:noFill/>
              </a:ln>
              <a:effectLst/>
            </c:spPr>
            <c:extLst>
              <c:ext xmlns:c16="http://schemas.microsoft.com/office/drawing/2014/chart" uri="{C3380CC4-5D6E-409C-BE32-E72D297353CC}">
                <c16:uniqueId val="{00000054-16AD-4544-9046-F2B0590D0D2D}"/>
              </c:ext>
            </c:extLst>
          </c:dPt>
          <c:dPt>
            <c:idx val="37"/>
            <c:invertIfNegative val="0"/>
            <c:bubble3D val="0"/>
            <c:spPr>
              <a:solidFill>
                <a:srgbClr val="EFA2CD"/>
              </a:solidFill>
              <a:ln>
                <a:noFill/>
              </a:ln>
              <a:effectLst/>
            </c:spPr>
            <c:extLst>
              <c:ext xmlns:c16="http://schemas.microsoft.com/office/drawing/2014/chart" uri="{C3380CC4-5D6E-409C-BE32-E72D297353CC}">
                <c16:uniqueId val="{00000056-16AD-4544-9046-F2B0590D0D2D}"/>
              </c:ext>
            </c:extLst>
          </c:dPt>
          <c:dPt>
            <c:idx val="38"/>
            <c:invertIfNegative val="0"/>
            <c:bubble3D val="0"/>
            <c:spPr>
              <a:solidFill>
                <a:srgbClr val="ECD39C"/>
              </a:solidFill>
              <a:ln>
                <a:noFill/>
              </a:ln>
              <a:effectLst/>
            </c:spPr>
            <c:extLst>
              <c:ext xmlns:c16="http://schemas.microsoft.com/office/drawing/2014/chart" uri="{C3380CC4-5D6E-409C-BE32-E72D297353CC}">
                <c16:uniqueId val="{00000058-16AD-4544-9046-F2B0590D0D2D}"/>
              </c:ext>
            </c:extLst>
          </c:dPt>
          <c:dPt>
            <c:idx val="41"/>
            <c:invertIfNegative val="0"/>
            <c:bubble3D val="0"/>
            <c:spPr>
              <a:solidFill>
                <a:srgbClr val="EFA2CD"/>
              </a:solidFill>
              <a:ln>
                <a:noFill/>
              </a:ln>
              <a:effectLst/>
            </c:spPr>
            <c:extLst>
              <c:ext xmlns:c16="http://schemas.microsoft.com/office/drawing/2014/chart" uri="{C3380CC4-5D6E-409C-BE32-E72D297353CC}">
                <c16:uniqueId val="{0000005A-16AD-4544-9046-F2B0590D0D2D}"/>
              </c:ext>
            </c:extLst>
          </c:dPt>
          <c:dPt>
            <c:idx val="42"/>
            <c:invertIfNegative val="0"/>
            <c:bubble3D val="0"/>
            <c:spPr>
              <a:solidFill>
                <a:srgbClr val="ECD39C"/>
              </a:solidFill>
              <a:ln>
                <a:noFill/>
              </a:ln>
              <a:effectLst/>
            </c:spPr>
            <c:extLst>
              <c:ext xmlns:c16="http://schemas.microsoft.com/office/drawing/2014/chart" uri="{C3380CC4-5D6E-409C-BE32-E72D297353CC}">
                <c16:uniqueId val="{0000005C-16AD-4544-9046-F2B0590D0D2D}"/>
              </c:ext>
            </c:extLst>
          </c:dPt>
          <c:dPt>
            <c:idx val="45"/>
            <c:invertIfNegative val="0"/>
            <c:bubble3D val="0"/>
            <c:spPr>
              <a:solidFill>
                <a:srgbClr val="EFA2CD"/>
              </a:solidFill>
              <a:ln>
                <a:noFill/>
              </a:ln>
              <a:effectLst/>
            </c:spPr>
            <c:extLst>
              <c:ext xmlns:c16="http://schemas.microsoft.com/office/drawing/2014/chart" uri="{C3380CC4-5D6E-409C-BE32-E72D297353CC}">
                <c16:uniqueId val="{0000005E-16AD-4544-9046-F2B0590D0D2D}"/>
              </c:ext>
            </c:extLst>
          </c:dPt>
          <c:dPt>
            <c:idx val="46"/>
            <c:invertIfNegative val="0"/>
            <c:bubble3D val="0"/>
            <c:spPr>
              <a:solidFill>
                <a:srgbClr val="ECD39C"/>
              </a:solidFill>
              <a:ln>
                <a:noFill/>
              </a:ln>
              <a:effectLst/>
            </c:spPr>
            <c:extLst>
              <c:ext xmlns:c16="http://schemas.microsoft.com/office/drawing/2014/chart" uri="{C3380CC4-5D6E-409C-BE32-E72D297353CC}">
                <c16:uniqueId val="{00000060-16AD-4544-9046-F2B0590D0D2D}"/>
              </c:ext>
            </c:extLst>
          </c:dPt>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Calculations!$N$55:$N$102</c:f>
              <c:numCache>
                <c:formatCode>_-* #,##0_-;\-* #,##0_-;_-* "-"??_-;_-@_-</c:formatCode>
                <c:ptCount val="48"/>
                <c:pt idx="0">
                  <c:v>70000</c:v>
                </c:pt>
                <c:pt idx="1">
                  <c:v>140000</c:v>
                </c:pt>
                <c:pt idx="2">
                  <c:v>4000</c:v>
                </c:pt>
                <c:pt idx="4">
                  <c:v>170000</c:v>
                </c:pt>
                <c:pt idx="5">
                  <c:v>110000</c:v>
                </c:pt>
                <c:pt idx="6">
                  <c:v>22000</c:v>
                </c:pt>
                <c:pt idx="8">
                  <c:v>0</c:v>
                </c:pt>
                <c:pt idx="9">
                  <c:v>60000</c:v>
                </c:pt>
                <c:pt idx="10">
                  <c:v>9000</c:v>
                </c:pt>
                <c:pt idx="12">
                  <c:v>70000</c:v>
                </c:pt>
                <c:pt idx="13">
                  <c:v>90000</c:v>
                </c:pt>
                <c:pt idx="14">
                  <c:v>24000</c:v>
                </c:pt>
                <c:pt idx="16">
                  <c:v>70000</c:v>
                </c:pt>
                <c:pt idx="17">
                  <c:v>140000</c:v>
                </c:pt>
                <c:pt idx="18">
                  <c:v>14000</c:v>
                </c:pt>
                <c:pt idx="20">
                  <c:v>170000</c:v>
                </c:pt>
                <c:pt idx="21">
                  <c:v>60000</c:v>
                </c:pt>
                <c:pt idx="22">
                  <c:v>9000</c:v>
                </c:pt>
                <c:pt idx="24">
                  <c:v>68000</c:v>
                </c:pt>
                <c:pt idx="25">
                  <c:v>110000</c:v>
                </c:pt>
                <c:pt idx="26">
                  <c:v>14000</c:v>
                </c:pt>
                <c:pt idx="28">
                  <c:v>0</c:v>
                </c:pt>
                <c:pt idx="29">
                  <c:v>90000</c:v>
                </c:pt>
                <c:pt idx="30">
                  <c:v>14000</c:v>
                </c:pt>
                <c:pt idx="32">
                  <c:v>164000</c:v>
                </c:pt>
                <c:pt idx="33">
                  <c:v>136000</c:v>
                </c:pt>
                <c:pt idx="34">
                  <c:v>0</c:v>
                </c:pt>
                <c:pt idx="36">
                  <c:v>170000</c:v>
                </c:pt>
                <c:pt idx="37">
                  <c:v>132000</c:v>
                </c:pt>
                <c:pt idx="38">
                  <c:v>9000</c:v>
                </c:pt>
                <c:pt idx="40">
                  <c:v>170000</c:v>
                </c:pt>
                <c:pt idx="41">
                  <c:v>132300</c:v>
                </c:pt>
                <c:pt idx="42">
                  <c:v>24000</c:v>
                </c:pt>
                <c:pt idx="44">
                  <c:v>170000</c:v>
                </c:pt>
                <c:pt idx="45">
                  <c:v>112300</c:v>
                </c:pt>
                <c:pt idx="46">
                  <c:v>29000</c:v>
                </c:pt>
              </c:numCache>
            </c:numRef>
          </c:val>
          <c:extLst>
            <c:ext xmlns:c16="http://schemas.microsoft.com/office/drawing/2014/chart" uri="{C3380CC4-5D6E-409C-BE32-E72D297353CC}">
              <c16:uniqueId val="{00000061-16AD-4544-9046-F2B0590D0D2D}"/>
            </c:ext>
          </c:extLst>
        </c:ser>
        <c:ser>
          <c:idx val="2"/>
          <c:order val="2"/>
          <c:spPr>
            <a:solidFill>
              <a:srgbClr val="00B050"/>
            </a:solidFill>
            <a:ln>
              <a:noFill/>
            </a:ln>
            <a:effectLst/>
          </c:spPr>
          <c:invertIfNegative val="0"/>
          <c:dPt>
            <c:idx val="1"/>
            <c:invertIfNegative val="0"/>
            <c:bubble3D val="0"/>
            <c:spPr>
              <a:solidFill>
                <a:srgbClr val="D81884"/>
              </a:solidFill>
              <a:ln>
                <a:noFill/>
              </a:ln>
              <a:effectLst/>
            </c:spPr>
            <c:extLst>
              <c:ext xmlns:c16="http://schemas.microsoft.com/office/drawing/2014/chart" uri="{C3380CC4-5D6E-409C-BE32-E72D297353CC}">
                <c16:uniqueId val="{00000063-16AD-4544-9046-F2B0590D0D2D}"/>
              </c:ext>
            </c:extLst>
          </c:dPt>
          <c:dPt>
            <c:idx val="2"/>
            <c:invertIfNegative val="0"/>
            <c:bubble3D val="0"/>
            <c:spPr>
              <a:solidFill>
                <a:srgbClr val="D19108"/>
              </a:solidFill>
              <a:ln>
                <a:noFill/>
              </a:ln>
              <a:effectLst/>
            </c:spPr>
            <c:extLst>
              <c:ext xmlns:c16="http://schemas.microsoft.com/office/drawing/2014/chart" uri="{C3380CC4-5D6E-409C-BE32-E72D297353CC}">
                <c16:uniqueId val="{00000065-16AD-4544-9046-F2B0590D0D2D}"/>
              </c:ext>
            </c:extLst>
          </c:dPt>
          <c:dPt>
            <c:idx val="5"/>
            <c:invertIfNegative val="0"/>
            <c:bubble3D val="0"/>
            <c:spPr>
              <a:solidFill>
                <a:srgbClr val="D81884"/>
              </a:solidFill>
              <a:ln>
                <a:noFill/>
              </a:ln>
              <a:effectLst/>
            </c:spPr>
            <c:extLst>
              <c:ext xmlns:c16="http://schemas.microsoft.com/office/drawing/2014/chart" uri="{C3380CC4-5D6E-409C-BE32-E72D297353CC}">
                <c16:uniqueId val="{00000067-16AD-4544-9046-F2B0590D0D2D}"/>
              </c:ext>
            </c:extLst>
          </c:dPt>
          <c:dPt>
            <c:idx val="6"/>
            <c:invertIfNegative val="0"/>
            <c:bubble3D val="0"/>
            <c:spPr>
              <a:solidFill>
                <a:srgbClr val="D19108"/>
              </a:solidFill>
              <a:ln>
                <a:noFill/>
              </a:ln>
              <a:effectLst/>
            </c:spPr>
            <c:extLst>
              <c:ext xmlns:c16="http://schemas.microsoft.com/office/drawing/2014/chart" uri="{C3380CC4-5D6E-409C-BE32-E72D297353CC}">
                <c16:uniqueId val="{00000069-16AD-4544-9046-F2B0590D0D2D}"/>
              </c:ext>
            </c:extLst>
          </c:dPt>
          <c:dPt>
            <c:idx val="9"/>
            <c:invertIfNegative val="0"/>
            <c:bubble3D val="0"/>
            <c:spPr>
              <a:solidFill>
                <a:srgbClr val="D81884"/>
              </a:solidFill>
              <a:ln>
                <a:noFill/>
              </a:ln>
              <a:effectLst/>
            </c:spPr>
            <c:extLst>
              <c:ext xmlns:c16="http://schemas.microsoft.com/office/drawing/2014/chart" uri="{C3380CC4-5D6E-409C-BE32-E72D297353CC}">
                <c16:uniqueId val="{0000006B-16AD-4544-9046-F2B0590D0D2D}"/>
              </c:ext>
            </c:extLst>
          </c:dPt>
          <c:dPt>
            <c:idx val="10"/>
            <c:invertIfNegative val="0"/>
            <c:bubble3D val="0"/>
            <c:spPr>
              <a:solidFill>
                <a:srgbClr val="D19108"/>
              </a:solidFill>
              <a:ln>
                <a:noFill/>
              </a:ln>
              <a:effectLst/>
            </c:spPr>
            <c:extLst>
              <c:ext xmlns:c16="http://schemas.microsoft.com/office/drawing/2014/chart" uri="{C3380CC4-5D6E-409C-BE32-E72D297353CC}">
                <c16:uniqueId val="{0000006D-16AD-4544-9046-F2B0590D0D2D}"/>
              </c:ext>
            </c:extLst>
          </c:dPt>
          <c:dPt>
            <c:idx val="13"/>
            <c:invertIfNegative val="0"/>
            <c:bubble3D val="0"/>
            <c:spPr>
              <a:solidFill>
                <a:srgbClr val="D81884"/>
              </a:solidFill>
              <a:ln>
                <a:noFill/>
              </a:ln>
              <a:effectLst/>
            </c:spPr>
            <c:extLst>
              <c:ext xmlns:c16="http://schemas.microsoft.com/office/drawing/2014/chart" uri="{C3380CC4-5D6E-409C-BE32-E72D297353CC}">
                <c16:uniqueId val="{0000006F-16AD-4544-9046-F2B0590D0D2D}"/>
              </c:ext>
            </c:extLst>
          </c:dPt>
          <c:dPt>
            <c:idx val="14"/>
            <c:invertIfNegative val="0"/>
            <c:bubble3D val="0"/>
            <c:spPr>
              <a:solidFill>
                <a:srgbClr val="D19108"/>
              </a:solidFill>
              <a:ln>
                <a:noFill/>
              </a:ln>
              <a:effectLst/>
            </c:spPr>
            <c:extLst>
              <c:ext xmlns:c16="http://schemas.microsoft.com/office/drawing/2014/chart" uri="{C3380CC4-5D6E-409C-BE32-E72D297353CC}">
                <c16:uniqueId val="{00000071-16AD-4544-9046-F2B0590D0D2D}"/>
              </c:ext>
            </c:extLst>
          </c:dPt>
          <c:dPt>
            <c:idx val="17"/>
            <c:invertIfNegative val="0"/>
            <c:bubble3D val="0"/>
            <c:spPr>
              <a:solidFill>
                <a:srgbClr val="D81884"/>
              </a:solidFill>
              <a:ln>
                <a:noFill/>
              </a:ln>
              <a:effectLst/>
            </c:spPr>
            <c:extLst>
              <c:ext xmlns:c16="http://schemas.microsoft.com/office/drawing/2014/chart" uri="{C3380CC4-5D6E-409C-BE32-E72D297353CC}">
                <c16:uniqueId val="{00000073-16AD-4544-9046-F2B0590D0D2D}"/>
              </c:ext>
            </c:extLst>
          </c:dPt>
          <c:dPt>
            <c:idx val="18"/>
            <c:invertIfNegative val="0"/>
            <c:bubble3D val="0"/>
            <c:spPr>
              <a:solidFill>
                <a:srgbClr val="D19108"/>
              </a:solidFill>
              <a:ln>
                <a:noFill/>
              </a:ln>
              <a:effectLst/>
            </c:spPr>
            <c:extLst>
              <c:ext xmlns:c16="http://schemas.microsoft.com/office/drawing/2014/chart" uri="{C3380CC4-5D6E-409C-BE32-E72D297353CC}">
                <c16:uniqueId val="{00000075-16AD-4544-9046-F2B0590D0D2D}"/>
              </c:ext>
            </c:extLst>
          </c:dPt>
          <c:dPt>
            <c:idx val="21"/>
            <c:invertIfNegative val="0"/>
            <c:bubble3D val="0"/>
            <c:spPr>
              <a:solidFill>
                <a:srgbClr val="D81884"/>
              </a:solidFill>
              <a:ln>
                <a:noFill/>
              </a:ln>
              <a:effectLst/>
            </c:spPr>
            <c:extLst>
              <c:ext xmlns:c16="http://schemas.microsoft.com/office/drawing/2014/chart" uri="{C3380CC4-5D6E-409C-BE32-E72D297353CC}">
                <c16:uniqueId val="{00000077-16AD-4544-9046-F2B0590D0D2D}"/>
              </c:ext>
            </c:extLst>
          </c:dPt>
          <c:dPt>
            <c:idx val="22"/>
            <c:invertIfNegative val="0"/>
            <c:bubble3D val="0"/>
            <c:spPr>
              <a:solidFill>
                <a:srgbClr val="D19108"/>
              </a:solidFill>
              <a:ln>
                <a:noFill/>
              </a:ln>
              <a:effectLst/>
            </c:spPr>
            <c:extLst>
              <c:ext xmlns:c16="http://schemas.microsoft.com/office/drawing/2014/chart" uri="{C3380CC4-5D6E-409C-BE32-E72D297353CC}">
                <c16:uniqueId val="{00000079-16AD-4544-9046-F2B0590D0D2D}"/>
              </c:ext>
            </c:extLst>
          </c:dPt>
          <c:dPt>
            <c:idx val="25"/>
            <c:invertIfNegative val="0"/>
            <c:bubble3D val="0"/>
            <c:spPr>
              <a:solidFill>
                <a:srgbClr val="D81884"/>
              </a:solidFill>
              <a:ln>
                <a:noFill/>
              </a:ln>
              <a:effectLst/>
            </c:spPr>
            <c:extLst>
              <c:ext xmlns:c16="http://schemas.microsoft.com/office/drawing/2014/chart" uri="{C3380CC4-5D6E-409C-BE32-E72D297353CC}">
                <c16:uniqueId val="{0000007B-16AD-4544-9046-F2B0590D0D2D}"/>
              </c:ext>
            </c:extLst>
          </c:dPt>
          <c:dPt>
            <c:idx val="26"/>
            <c:invertIfNegative val="0"/>
            <c:bubble3D val="0"/>
            <c:spPr>
              <a:solidFill>
                <a:srgbClr val="D19108"/>
              </a:solidFill>
              <a:ln>
                <a:noFill/>
              </a:ln>
              <a:effectLst/>
            </c:spPr>
            <c:extLst>
              <c:ext xmlns:c16="http://schemas.microsoft.com/office/drawing/2014/chart" uri="{C3380CC4-5D6E-409C-BE32-E72D297353CC}">
                <c16:uniqueId val="{0000007D-16AD-4544-9046-F2B0590D0D2D}"/>
              </c:ext>
            </c:extLst>
          </c:dPt>
          <c:dPt>
            <c:idx val="29"/>
            <c:invertIfNegative val="0"/>
            <c:bubble3D val="0"/>
            <c:spPr>
              <a:solidFill>
                <a:srgbClr val="D81884"/>
              </a:solidFill>
              <a:ln>
                <a:noFill/>
              </a:ln>
              <a:effectLst/>
            </c:spPr>
            <c:extLst>
              <c:ext xmlns:c16="http://schemas.microsoft.com/office/drawing/2014/chart" uri="{C3380CC4-5D6E-409C-BE32-E72D297353CC}">
                <c16:uniqueId val="{0000007F-16AD-4544-9046-F2B0590D0D2D}"/>
              </c:ext>
            </c:extLst>
          </c:dPt>
          <c:dPt>
            <c:idx val="30"/>
            <c:invertIfNegative val="0"/>
            <c:bubble3D val="0"/>
            <c:spPr>
              <a:solidFill>
                <a:srgbClr val="D19108"/>
              </a:solidFill>
              <a:ln>
                <a:noFill/>
              </a:ln>
              <a:effectLst/>
            </c:spPr>
            <c:extLst>
              <c:ext xmlns:c16="http://schemas.microsoft.com/office/drawing/2014/chart" uri="{C3380CC4-5D6E-409C-BE32-E72D297353CC}">
                <c16:uniqueId val="{00000081-16AD-4544-9046-F2B0590D0D2D}"/>
              </c:ext>
            </c:extLst>
          </c:dPt>
          <c:dPt>
            <c:idx val="33"/>
            <c:invertIfNegative val="0"/>
            <c:bubble3D val="0"/>
            <c:spPr>
              <a:solidFill>
                <a:srgbClr val="D81884"/>
              </a:solidFill>
              <a:ln>
                <a:noFill/>
              </a:ln>
              <a:effectLst/>
            </c:spPr>
            <c:extLst>
              <c:ext xmlns:c16="http://schemas.microsoft.com/office/drawing/2014/chart" uri="{C3380CC4-5D6E-409C-BE32-E72D297353CC}">
                <c16:uniqueId val="{00000083-16AD-4544-9046-F2B0590D0D2D}"/>
              </c:ext>
            </c:extLst>
          </c:dPt>
          <c:dPt>
            <c:idx val="34"/>
            <c:invertIfNegative val="0"/>
            <c:bubble3D val="0"/>
            <c:spPr>
              <a:solidFill>
                <a:srgbClr val="D19108"/>
              </a:solidFill>
              <a:ln>
                <a:noFill/>
              </a:ln>
              <a:effectLst/>
            </c:spPr>
            <c:extLst>
              <c:ext xmlns:c16="http://schemas.microsoft.com/office/drawing/2014/chart" uri="{C3380CC4-5D6E-409C-BE32-E72D297353CC}">
                <c16:uniqueId val="{00000085-16AD-4544-9046-F2B0590D0D2D}"/>
              </c:ext>
            </c:extLst>
          </c:dPt>
          <c:dPt>
            <c:idx val="37"/>
            <c:invertIfNegative val="0"/>
            <c:bubble3D val="0"/>
            <c:spPr>
              <a:solidFill>
                <a:srgbClr val="D81884"/>
              </a:solidFill>
              <a:ln>
                <a:noFill/>
              </a:ln>
              <a:effectLst/>
            </c:spPr>
            <c:extLst>
              <c:ext xmlns:c16="http://schemas.microsoft.com/office/drawing/2014/chart" uri="{C3380CC4-5D6E-409C-BE32-E72D297353CC}">
                <c16:uniqueId val="{00000087-16AD-4544-9046-F2B0590D0D2D}"/>
              </c:ext>
            </c:extLst>
          </c:dPt>
          <c:dPt>
            <c:idx val="38"/>
            <c:invertIfNegative val="0"/>
            <c:bubble3D val="0"/>
            <c:spPr>
              <a:solidFill>
                <a:srgbClr val="D19108"/>
              </a:solidFill>
              <a:ln>
                <a:noFill/>
              </a:ln>
              <a:effectLst/>
            </c:spPr>
            <c:extLst>
              <c:ext xmlns:c16="http://schemas.microsoft.com/office/drawing/2014/chart" uri="{C3380CC4-5D6E-409C-BE32-E72D297353CC}">
                <c16:uniqueId val="{00000089-16AD-4544-9046-F2B0590D0D2D}"/>
              </c:ext>
            </c:extLst>
          </c:dPt>
          <c:dPt>
            <c:idx val="41"/>
            <c:invertIfNegative val="0"/>
            <c:bubble3D val="0"/>
            <c:spPr>
              <a:solidFill>
                <a:srgbClr val="D81884"/>
              </a:solidFill>
              <a:ln>
                <a:noFill/>
              </a:ln>
              <a:effectLst/>
            </c:spPr>
            <c:extLst>
              <c:ext xmlns:c16="http://schemas.microsoft.com/office/drawing/2014/chart" uri="{C3380CC4-5D6E-409C-BE32-E72D297353CC}">
                <c16:uniqueId val="{0000008B-16AD-4544-9046-F2B0590D0D2D}"/>
              </c:ext>
            </c:extLst>
          </c:dPt>
          <c:dPt>
            <c:idx val="42"/>
            <c:invertIfNegative val="0"/>
            <c:bubble3D val="0"/>
            <c:spPr>
              <a:solidFill>
                <a:srgbClr val="D19108"/>
              </a:solidFill>
              <a:ln>
                <a:noFill/>
              </a:ln>
              <a:effectLst/>
            </c:spPr>
            <c:extLst>
              <c:ext xmlns:c16="http://schemas.microsoft.com/office/drawing/2014/chart" uri="{C3380CC4-5D6E-409C-BE32-E72D297353CC}">
                <c16:uniqueId val="{0000008D-16AD-4544-9046-F2B0590D0D2D}"/>
              </c:ext>
            </c:extLst>
          </c:dPt>
          <c:dPt>
            <c:idx val="45"/>
            <c:invertIfNegative val="0"/>
            <c:bubble3D val="0"/>
            <c:spPr>
              <a:solidFill>
                <a:srgbClr val="D81884"/>
              </a:solidFill>
              <a:ln>
                <a:noFill/>
              </a:ln>
              <a:effectLst/>
            </c:spPr>
            <c:extLst>
              <c:ext xmlns:c16="http://schemas.microsoft.com/office/drawing/2014/chart" uri="{C3380CC4-5D6E-409C-BE32-E72D297353CC}">
                <c16:uniqueId val="{0000008F-16AD-4544-9046-F2B0590D0D2D}"/>
              </c:ext>
            </c:extLst>
          </c:dPt>
          <c:dPt>
            <c:idx val="46"/>
            <c:invertIfNegative val="0"/>
            <c:bubble3D val="0"/>
            <c:spPr>
              <a:solidFill>
                <a:srgbClr val="D19108"/>
              </a:solidFill>
              <a:ln>
                <a:noFill/>
              </a:ln>
              <a:effectLst/>
            </c:spPr>
            <c:extLst>
              <c:ext xmlns:c16="http://schemas.microsoft.com/office/drawing/2014/chart" uri="{C3380CC4-5D6E-409C-BE32-E72D297353CC}">
                <c16:uniqueId val="{00000091-16AD-4544-9046-F2B0590D0D2D}"/>
              </c:ext>
            </c:extLst>
          </c:dPt>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Calculations!$O$55:$O$102</c:f>
              <c:numCache>
                <c:formatCode>_-* #,##0_-;\-* #,##0_-;_-* "-"??_-;_-@_-</c:formatCode>
                <c:ptCount val="48"/>
                <c:pt idx="0">
                  <c:v>0</c:v>
                </c:pt>
                <c:pt idx="1">
                  <c:v>0</c:v>
                </c:pt>
                <c:pt idx="2">
                  <c:v>0</c:v>
                </c:pt>
                <c:pt idx="4">
                  <c:v>0</c:v>
                </c:pt>
                <c:pt idx="5">
                  <c:v>0</c:v>
                </c:pt>
                <c:pt idx="6">
                  <c:v>0</c:v>
                </c:pt>
                <c:pt idx="8">
                  <c:v>30000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30000</c:v>
                </c:pt>
                <c:pt idx="29">
                  <c:v>0</c:v>
                </c:pt>
                <c:pt idx="30">
                  <c:v>0</c:v>
                </c:pt>
                <c:pt idx="32">
                  <c:v>0</c:v>
                </c:pt>
                <c:pt idx="33">
                  <c:v>0</c:v>
                </c:pt>
                <c:pt idx="34">
                  <c:v>1000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2-16AD-4544-9046-F2B0590D0D2D}"/>
            </c:ext>
          </c:extLst>
        </c:ser>
        <c:ser>
          <c:idx val="3"/>
          <c:order val="3"/>
          <c:spPr>
            <a:solidFill>
              <a:srgbClr val="DBDBDB"/>
            </a:solidFill>
            <a:ln>
              <a:noFill/>
            </a:ln>
            <a:effectLst/>
          </c:spPr>
          <c:invertIfNegative val="0"/>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Calculations!$P$55:$P$102</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16AD-4544-9046-F2B0590D0D2D}"/>
            </c:ext>
          </c:extLst>
        </c:ser>
        <c:ser>
          <c:idx val="4"/>
          <c:order val="4"/>
          <c:spPr>
            <a:solidFill>
              <a:srgbClr val="EEEEEE"/>
            </a:solidFill>
            <a:ln>
              <a:noFill/>
            </a:ln>
            <a:effectLst/>
          </c:spPr>
          <c:invertIfNegative val="0"/>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Calculations!$Q$55:$Q$102</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16AD-4544-9046-F2B0590D0D2D}"/>
            </c:ext>
          </c:extLst>
        </c:ser>
        <c:ser>
          <c:idx val="5"/>
          <c:order val="5"/>
          <c:spPr>
            <a:solidFill>
              <a:srgbClr val="C2C2C2"/>
            </a:solidFill>
            <a:ln>
              <a:noFill/>
            </a:ln>
            <a:effectLst/>
          </c:spPr>
          <c:invertIfNegative val="0"/>
          <c:cat>
            <c:numRef>
              <c:f>Calculations!$C$55:$C$102</c:f>
              <c:numCache>
                <c:formatCode>mmm</c:formatCode>
                <c:ptCount val="48"/>
                <c:pt idx="0">
                  <c:v>45292</c:v>
                </c:pt>
                <c:pt idx="4">
                  <c:v>45323</c:v>
                </c:pt>
                <c:pt idx="8">
                  <c:v>45352</c:v>
                </c:pt>
                <c:pt idx="12">
                  <c:v>45383</c:v>
                </c:pt>
                <c:pt idx="16">
                  <c:v>45413</c:v>
                </c:pt>
                <c:pt idx="20">
                  <c:v>45444</c:v>
                </c:pt>
                <c:pt idx="24">
                  <c:v>45474</c:v>
                </c:pt>
                <c:pt idx="28">
                  <c:v>45505</c:v>
                </c:pt>
                <c:pt idx="32">
                  <c:v>45536</c:v>
                </c:pt>
                <c:pt idx="36">
                  <c:v>45566</c:v>
                </c:pt>
                <c:pt idx="40">
                  <c:v>45597</c:v>
                </c:pt>
                <c:pt idx="44">
                  <c:v>45627</c:v>
                </c:pt>
              </c:numCache>
            </c:numRef>
          </c:cat>
          <c:val>
            <c:numRef>
              <c:f>Calculations!$R$55:$R$102</c:f>
              <c:numCache>
                <c:formatCode>_-* #,##0_-;\-* #,##0_-;_-*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16AD-4544-9046-F2B0590D0D2D}"/>
            </c:ext>
          </c:extLst>
        </c:ser>
        <c:dLbls>
          <c:showLegendKey val="0"/>
          <c:showVal val="0"/>
          <c:showCatName val="0"/>
          <c:showSerName val="0"/>
          <c:showPercent val="0"/>
          <c:showBubbleSize val="0"/>
        </c:dLbls>
        <c:gapWidth val="15"/>
        <c:overlap val="100"/>
        <c:axId val="839501775"/>
        <c:axId val="839492175"/>
      </c:barChart>
      <c:catAx>
        <c:axId val="839501775"/>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9492175"/>
        <c:crosses val="autoZero"/>
        <c:auto val="0"/>
        <c:lblAlgn val="ctr"/>
        <c:lblOffset val="100"/>
        <c:noMultiLvlLbl val="0"/>
      </c:catAx>
      <c:valAx>
        <c:axId val="839492175"/>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39501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5">
                <a:lumMod val="20000"/>
                <a:lumOff val="80000"/>
              </a:schemeClr>
            </a:solidFill>
            <a:ln>
              <a:noFill/>
            </a:ln>
            <a:effectLst/>
          </c:spPr>
          <c:invertIfNegative val="0"/>
          <c:val>
            <c:numRef>
              <c:f>Calculations!$D$21</c:f>
              <c:numCache>
                <c:formatCode>0%</c:formatCode>
                <c:ptCount val="1"/>
                <c:pt idx="0">
                  <c:v>1</c:v>
                </c:pt>
              </c:numCache>
            </c:numRef>
          </c:val>
          <c:extLst>
            <c:ext xmlns:c16="http://schemas.microsoft.com/office/drawing/2014/chart" uri="{C3380CC4-5D6E-409C-BE32-E72D297353CC}">
              <c16:uniqueId val="{00000000-3FDE-4C19-8D19-BDAD858E2528}"/>
            </c:ext>
          </c:extLst>
        </c:ser>
        <c:dLbls>
          <c:showLegendKey val="0"/>
          <c:showVal val="0"/>
          <c:showCatName val="0"/>
          <c:showSerName val="0"/>
          <c:showPercent val="0"/>
          <c:showBubbleSize val="0"/>
        </c:dLbls>
        <c:gapWidth val="0"/>
        <c:axId val="933949103"/>
        <c:axId val="933949583"/>
      </c:barChart>
      <c:catAx>
        <c:axId val="933949103"/>
        <c:scaling>
          <c:orientation val="minMax"/>
        </c:scaling>
        <c:delete val="1"/>
        <c:axPos val="l"/>
        <c:majorTickMark val="none"/>
        <c:minorTickMark val="none"/>
        <c:tickLblPos val="nextTo"/>
        <c:crossAx val="933949583"/>
        <c:crosses val="autoZero"/>
        <c:auto val="1"/>
        <c:lblAlgn val="ctr"/>
        <c:lblOffset val="100"/>
        <c:noMultiLvlLbl val="0"/>
      </c:catAx>
      <c:valAx>
        <c:axId val="933949583"/>
        <c:scaling>
          <c:orientation val="minMax"/>
          <c:max val="1"/>
        </c:scaling>
        <c:delete val="1"/>
        <c:axPos val="b"/>
        <c:numFmt formatCode="0%" sourceLinked="1"/>
        <c:majorTickMark val="none"/>
        <c:minorTickMark val="none"/>
        <c:tickLblPos val="nextTo"/>
        <c:crossAx val="933949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D$49" lockText="1" noThreeD="1"/>
</file>

<file path=xl/ctrlProps/ctrlProp2.xml><?xml version="1.0" encoding="utf-8"?>
<formControlPr xmlns="http://schemas.microsoft.com/office/spreadsheetml/2009/9/main" objectType="CheckBox" checked="Checked" fmlaLink="Calculations!$D$50" lockText="1" noThreeD="1"/>
</file>

<file path=xl/ctrlProps/ctrlProp3.xml><?xml version="1.0" encoding="utf-8"?>
<formControlPr xmlns="http://schemas.microsoft.com/office/spreadsheetml/2009/9/main" objectType="CheckBox" checked="Checked" fmlaLink="Calculations!$D$51" lockText="1" noThreeD="1"/>
</file>

<file path=xl/ctrlProps/ctrlProp4.xml><?xml version="1.0" encoding="utf-8"?>
<formControlPr xmlns="http://schemas.microsoft.com/office/spreadsheetml/2009/9/main" objectType="CheckBox" checked="Checked" fmlaLink="Calculations!$D$52" lockText="1" noThreeD="1"/>
</file>

<file path=xl/drawings/_rels/drawing1.xml.rels><?xml version="1.0" encoding="UTF-8" standalone="yes"?>
<Relationships xmlns="http://schemas.openxmlformats.org/package/2006/relationships"><Relationship Id="rId3" Type="http://schemas.openxmlformats.org/officeDocument/2006/relationships/hyperlink" Target="#'Budget Dashboard'!A1"/><Relationship Id="rId2" Type="http://schemas.openxmlformats.org/officeDocument/2006/relationships/image" Target="../media/image7.png"/><Relationship Id="rId1" Type="http://schemas.openxmlformats.org/officeDocument/2006/relationships/hyperlink" Target="#'Budget Tracking'!A1"/><Relationship Id="rId4" Type="http://schemas.openxmlformats.org/officeDocument/2006/relationships/hyperlink" Target="#'Budget Plannning'!A1"/></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Budget Tracking'!A1"/><Relationship Id="rId1" Type="http://schemas.openxmlformats.org/officeDocument/2006/relationships/hyperlink" Target="#Resources!A1"/><Relationship Id="rId4" Type="http://schemas.openxmlformats.org/officeDocument/2006/relationships/hyperlink" Target="#'Budget 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Budget Plannning'!A1"/><Relationship Id="rId2" Type="http://schemas.openxmlformats.org/officeDocument/2006/relationships/image" Target="../media/image9.svg"/><Relationship Id="rId1" Type="http://schemas.openxmlformats.org/officeDocument/2006/relationships/image" Target="../media/image8.png"/><Relationship Id="rId5" Type="http://schemas.openxmlformats.org/officeDocument/2006/relationships/hyperlink" Target="#'Budget Dashboard'!A1"/><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hyperlink" Target="#'Budget Dashboard'!A1"/><Relationship Id="rId3" Type="http://schemas.openxmlformats.org/officeDocument/2006/relationships/chart" Target="../charts/chart3.xml"/><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Budget Tracking'!A1"/><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hyperlink" Target="#'Budget Plannning'!A1"/></Relationships>
</file>

<file path=xl/drawings/_rels/drawing5.xml.rels><?xml version="1.0" encoding="UTF-8" standalone="yes"?>
<Relationships xmlns="http://schemas.openxmlformats.org/package/2006/relationships"><Relationship Id="rId3" Type="http://schemas.openxmlformats.org/officeDocument/2006/relationships/hyperlink" Target="#'Budget Dashboard'!A1"/><Relationship Id="rId2" Type="http://schemas.openxmlformats.org/officeDocument/2006/relationships/image" Target="../media/image7.png"/><Relationship Id="rId1" Type="http://schemas.openxmlformats.org/officeDocument/2006/relationships/hyperlink" Target="#'Budget Tracking'!A1"/><Relationship Id="rId4" Type="http://schemas.openxmlformats.org/officeDocument/2006/relationships/hyperlink" Target="#'Budget Plannning'!A1"/></Relationships>
</file>

<file path=xl/drawings/_rels/drawing6.xml.rels><?xml version="1.0" encoding="UTF-8" standalone="yes"?>
<Relationships xmlns="http://schemas.openxmlformats.org/package/2006/relationships"><Relationship Id="rId3" Type="http://schemas.openxmlformats.org/officeDocument/2006/relationships/hyperlink" Target="#'Budget Dashboard'!A1"/><Relationship Id="rId2" Type="http://schemas.openxmlformats.org/officeDocument/2006/relationships/image" Target="../media/image7.png"/><Relationship Id="rId1" Type="http://schemas.openxmlformats.org/officeDocument/2006/relationships/hyperlink" Target="#'Budget Tracking'!A1"/><Relationship Id="rId4" Type="http://schemas.openxmlformats.org/officeDocument/2006/relationships/hyperlink" Target="#'Budget Plannning'!A1"/></Relationships>
</file>

<file path=xl/drawings/drawing1.xml><?xml version="1.0" encoding="utf-8"?>
<xdr:wsDr xmlns:xdr="http://schemas.openxmlformats.org/drawingml/2006/spreadsheetDrawing" xmlns:a="http://schemas.openxmlformats.org/drawingml/2006/main">
  <xdr:twoCellAnchor editAs="oneCell">
    <xdr:from>
      <xdr:col>7</xdr:col>
      <xdr:colOff>46676</xdr:colOff>
      <xdr:row>0</xdr:row>
      <xdr:rowOff>99296</xdr:rowOff>
    </xdr:from>
    <xdr:to>
      <xdr:col>9</xdr:col>
      <xdr:colOff>1048702</xdr:colOff>
      <xdr:row>0</xdr:row>
      <xdr:rowOff>483945</xdr:rowOff>
    </xdr:to>
    <xdr:grpSp>
      <xdr:nvGrpSpPr>
        <xdr:cNvPr id="2" name="Group 1">
          <a:hlinkClick xmlns:r="http://schemas.openxmlformats.org/officeDocument/2006/relationships" r:id="rId1"/>
          <a:extLst>
            <a:ext uri="{FF2B5EF4-FFF2-40B4-BE49-F238E27FC236}">
              <a16:creationId xmlns:a16="http://schemas.microsoft.com/office/drawing/2014/main" id="{AD648071-6209-49B7-8BF5-2F07436B5859}"/>
            </a:ext>
          </a:extLst>
        </xdr:cNvPr>
        <xdr:cNvGrpSpPr/>
      </xdr:nvGrpSpPr>
      <xdr:grpSpPr>
        <a:xfrm>
          <a:off x="8495351" y="99296"/>
          <a:ext cx="2411726" cy="384649"/>
          <a:chOff x="9166864" y="127871"/>
          <a:chExt cx="2537099" cy="386554"/>
        </a:xfrm>
      </xdr:grpSpPr>
      <xdr:grpSp>
        <xdr:nvGrpSpPr>
          <xdr:cNvPr id="4" name="AddRowButton">
            <a:extLst>
              <a:ext uri="{FF2B5EF4-FFF2-40B4-BE49-F238E27FC236}">
                <a16:creationId xmlns:a16="http://schemas.microsoft.com/office/drawing/2014/main" id="{14C33E9B-59D4-0D0B-9F1B-EC56CFB0F521}"/>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7" name="Rectangle: Rounded Corners 6">
              <a:hlinkClick xmlns:r="http://schemas.openxmlformats.org/officeDocument/2006/relationships" r:id="rId1"/>
              <a:extLst>
                <a:ext uri="{FF2B5EF4-FFF2-40B4-BE49-F238E27FC236}">
                  <a16:creationId xmlns:a16="http://schemas.microsoft.com/office/drawing/2014/main" id="{C270D86F-4EA8-A4D0-AD4F-60BC2A88CA20}"/>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8" name="TextBox 7">
              <a:hlinkClick xmlns:r="http://schemas.openxmlformats.org/officeDocument/2006/relationships" r:id="rId1"/>
              <a:extLst>
                <a:ext uri="{FF2B5EF4-FFF2-40B4-BE49-F238E27FC236}">
                  <a16:creationId xmlns:a16="http://schemas.microsoft.com/office/drawing/2014/main" id="{C63299EC-474B-EBC2-B119-8762E144A243}"/>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Tracking</a:t>
              </a:r>
            </a:p>
          </xdr:txBody>
        </xdr:sp>
      </xdr:grpSp>
      <xdr:pic>
        <xdr:nvPicPr>
          <xdr:cNvPr id="5" name="Picture 4">
            <a:extLst>
              <a:ext uri="{FF2B5EF4-FFF2-40B4-BE49-F238E27FC236}">
                <a16:creationId xmlns:a16="http://schemas.microsoft.com/office/drawing/2014/main" id="{108C520C-31EC-EA23-0852-DEA290C7E0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9</xdr:col>
      <xdr:colOff>1242064</xdr:colOff>
      <xdr:row>0</xdr:row>
      <xdr:rowOff>99296</xdr:rowOff>
    </xdr:from>
    <xdr:to>
      <xdr:col>12</xdr:col>
      <xdr:colOff>544830</xdr:colOff>
      <xdr:row>0</xdr:row>
      <xdr:rowOff>483945</xdr:rowOff>
    </xdr:to>
    <xdr:grpSp>
      <xdr:nvGrpSpPr>
        <xdr:cNvPr id="9" name="Group 8">
          <a:hlinkClick xmlns:r="http://schemas.openxmlformats.org/officeDocument/2006/relationships" r:id="rId3"/>
          <a:extLst>
            <a:ext uri="{FF2B5EF4-FFF2-40B4-BE49-F238E27FC236}">
              <a16:creationId xmlns:a16="http://schemas.microsoft.com/office/drawing/2014/main" id="{5A174F7C-A3B0-4871-99A5-FC0B662DC69A}"/>
            </a:ext>
          </a:extLst>
        </xdr:cNvPr>
        <xdr:cNvGrpSpPr/>
      </xdr:nvGrpSpPr>
      <xdr:grpSpPr>
        <a:xfrm>
          <a:off x="11100439" y="99296"/>
          <a:ext cx="2417441" cy="384649"/>
          <a:chOff x="9166864" y="127871"/>
          <a:chExt cx="2537099" cy="386554"/>
        </a:xfrm>
      </xdr:grpSpPr>
      <xdr:grpSp>
        <xdr:nvGrpSpPr>
          <xdr:cNvPr id="11" name="AddRowButton">
            <a:extLst>
              <a:ext uri="{FF2B5EF4-FFF2-40B4-BE49-F238E27FC236}">
                <a16:creationId xmlns:a16="http://schemas.microsoft.com/office/drawing/2014/main" id="{600A7564-44B9-24E0-DB24-1EEA714A1784}"/>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13" name="Rectangle: Rounded Corners 12">
              <a:hlinkClick xmlns:r="http://schemas.openxmlformats.org/officeDocument/2006/relationships" r:id="rId3"/>
              <a:extLst>
                <a:ext uri="{FF2B5EF4-FFF2-40B4-BE49-F238E27FC236}">
                  <a16:creationId xmlns:a16="http://schemas.microsoft.com/office/drawing/2014/main" id="{BB77FBBF-3002-510B-B4B0-1B36A8503083}"/>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14" name="TextBox 13">
              <a:extLst>
                <a:ext uri="{FF2B5EF4-FFF2-40B4-BE49-F238E27FC236}">
                  <a16:creationId xmlns:a16="http://schemas.microsoft.com/office/drawing/2014/main" id="{A306D981-D2DD-5715-3064-FF8D997DE48C}"/>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12" name="Picture 11">
            <a:extLst>
              <a:ext uri="{FF2B5EF4-FFF2-40B4-BE49-F238E27FC236}">
                <a16:creationId xmlns:a16="http://schemas.microsoft.com/office/drawing/2014/main" id="{975EEF4E-2063-72AA-0F2F-19A7354826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3</xdr:col>
      <xdr:colOff>2527939</xdr:colOff>
      <xdr:row>0</xdr:row>
      <xdr:rowOff>99296</xdr:rowOff>
    </xdr:from>
    <xdr:to>
      <xdr:col>6</xdr:col>
      <xdr:colOff>1272540</xdr:colOff>
      <xdr:row>0</xdr:row>
      <xdr:rowOff>483945</xdr:rowOff>
    </xdr:to>
    <xdr:grpSp>
      <xdr:nvGrpSpPr>
        <xdr:cNvPr id="17" name="Group 16">
          <a:hlinkClick xmlns:r="http://schemas.openxmlformats.org/officeDocument/2006/relationships" r:id="rId4"/>
          <a:extLst>
            <a:ext uri="{FF2B5EF4-FFF2-40B4-BE49-F238E27FC236}">
              <a16:creationId xmlns:a16="http://schemas.microsoft.com/office/drawing/2014/main" id="{A168EF87-8629-132D-1472-3EB4F1864726}"/>
            </a:ext>
          </a:extLst>
        </xdr:cNvPr>
        <xdr:cNvGrpSpPr/>
      </xdr:nvGrpSpPr>
      <xdr:grpSpPr>
        <a:xfrm>
          <a:off x="5890264" y="99296"/>
          <a:ext cx="2411726" cy="384649"/>
          <a:chOff x="9166864" y="127871"/>
          <a:chExt cx="2537099" cy="386554"/>
        </a:xfrm>
      </xdr:grpSpPr>
      <xdr:grpSp>
        <xdr:nvGrpSpPr>
          <xdr:cNvPr id="18" name="AddRowButton">
            <a:extLst>
              <a:ext uri="{FF2B5EF4-FFF2-40B4-BE49-F238E27FC236}">
                <a16:creationId xmlns:a16="http://schemas.microsoft.com/office/drawing/2014/main" id="{5760510E-B5EC-B75F-A809-33AB8EAFF6EC}"/>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25" name="Rectangle: Rounded Corners 24">
              <a:hlinkClick xmlns:r="http://schemas.openxmlformats.org/officeDocument/2006/relationships" r:id="rId4"/>
              <a:extLst>
                <a:ext uri="{FF2B5EF4-FFF2-40B4-BE49-F238E27FC236}">
                  <a16:creationId xmlns:a16="http://schemas.microsoft.com/office/drawing/2014/main" id="{3D7F382B-1DD1-838D-E402-0DDA322B1244}"/>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26" name="TextBox 25">
              <a:hlinkClick xmlns:r="http://schemas.openxmlformats.org/officeDocument/2006/relationships" r:id="rId4"/>
              <a:extLst>
                <a:ext uri="{FF2B5EF4-FFF2-40B4-BE49-F238E27FC236}">
                  <a16:creationId xmlns:a16="http://schemas.microsoft.com/office/drawing/2014/main" id="{D1D8F034-CE11-E385-845C-BDC7EA812000}"/>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Planning</a:t>
              </a:r>
            </a:p>
          </xdr:txBody>
        </xdr:sp>
      </xdr:grpSp>
      <xdr:pic>
        <xdr:nvPicPr>
          <xdr:cNvPr id="24" name="Picture 23">
            <a:extLst>
              <a:ext uri="{FF2B5EF4-FFF2-40B4-BE49-F238E27FC236}">
                <a16:creationId xmlns:a16="http://schemas.microsoft.com/office/drawing/2014/main" id="{F75B406B-8630-8126-81E9-09D2E2722B8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327184</xdr:colOff>
      <xdr:row>0</xdr:row>
      <xdr:rowOff>92334</xdr:rowOff>
    </xdr:from>
    <xdr:to>
      <xdr:col>10</xdr:col>
      <xdr:colOff>359093</xdr:colOff>
      <xdr:row>0</xdr:row>
      <xdr:rowOff>492774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9AE40AC-DF1D-CD77-1873-36003BD8B8B5}"/>
            </a:ext>
          </a:extLst>
        </xdr:cNvPr>
        <xdr:cNvSpPr/>
      </xdr:nvSpPr>
      <xdr:spPr>
        <a:xfrm>
          <a:off x="4291965" y="96144"/>
          <a:ext cx="4320064" cy="396630"/>
        </a:xfrm>
        <a:prstGeom prst="roundRect">
          <a:avLst/>
        </a:prstGeom>
        <a:solidFill>
          <a:srgbClr val="DDD0D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1" u="sng" strike="noStrike">
              <a:solidFill>
                <a:schemeClr val="accent5">
                  <a:lumMod val="75000"/>
                </a:schemeClr>
              </a:solidFill>
              <a:effectLst/>
              <a:latin typeface="Arial" panose="020B0604020202020204" pitchFamily="34" charset="0"/>
              <a:ea typeface="+mn-ea"/>
              <a:cs typeface="Arial" panose="020B0604020202020204" pitchFamily="34" charset="0"/>
              <a:hlinkClick xmlns:r="http://schemas.openxmlformats.org/officeDocument/2006/relationships" r:id="">
                <a:extLst>
                  <a:ext uri="{A12FA001-AC4F-418D-AE19-62706E023703}">
                    <ahyp:hlinkClr xmlns:ahyp="http://schemas.microsoft.com/office/drawing/2018/hyperlinkcolor" val="tx"/>
                  </a:ext>
                </a:extLst>
              </a:hlinkClick>
            </a:rPr>
            <a:t>See Examples of income, Expenditure, and Savings categories </a:t>
          </a:r>
          <a:r>
            <a:rPr lang="en-US" sz="1000" b="1" i="1" u="none" strike="noStrike">
              <a:solidFill>
                <a:schemeClr val="accent5">
                  <a:lumMod val="60000"/>
                  <a:lumOff val="40000"/>
                </a:schemeClr>
              </a:solidFill>
              <a:effectLst/>
              <a:latin typeface="Arial" panose="020B0604020202020204" pitchFamily="34" charset="0"/>
              <a:ea typeface="+mn-ea"/>
              <a:cs typeface="Arial" panose="020B0604020202020204" pitchFamily="34" charset="0"/>
              <a:hlinkClick xmlns:r="http://schemas.openxmlformats.org/officeDocument/2006/relationships" r:id="">
                <a:extLst>
                  <a:ext uri="{A12FA001-AC4F-418D-AE19-62706E023703}">
                    <ahyp:hlinkClr xmlns:ahyp="http://schemas.microsoft.com/office/drawing/2018/hyperlinkcolor" val="tx"/>
                  </a:ext>
                </a:extLst>
              </a:hlinkClick>
            </a:rPr>
            <a:t>➜</a:t>
          </a:r>
          <a:r>
            <a:rPr lang="en-US" sz="1000" b="1">
              <a:solidFill>
                <a:schemeClr val="accent5">
                  <a:lumMod val="75000"/>
                </a:schemeClr>
              </a:solidFill>
              <a:latin typeface="Arial" panose="020B0604020202020204" pitchFamily="34" charset="0"/>
              <a:cs typeface="Arial" panose="020B0604020202020204" pitchFamily="34" charset="0"/>
            </a:rPr>
            <a:t> </a:t>
          </a:r>
        </a:p>
      </xdr:txBody>
    </xdr:sp>
    <xdr:clientData/>
  </xdr:twoCellAnchor>
  <xdr:twoCellAnchor editAs="absolute">
    <xdr:from>
      <xdr:col>10</xdr:col>
      <xdr:colOff>808933</xdr:colOff>
      <xdr:row>0</xdr:row>
      <xdr:rowOff>93562</xdr:rowOff>
    </xdr:from>
    <xdr:to>
      <xdr:col>13</xdr:col>
      <xdr:colOff>715564</xdr:colOff>
      <xdr:row>0</xdr:row>
      <xdr:rowOff>495356</xdr:rowOff>
    </xdr:to>
    <xdr:grpSp>
      <xdr:nvGrpSpPr>
        <xdr:cNvPr id="3" name="Group 2">
          <a:hlinkClick xmlns:r="http://schemas.openxmlformats.org/officeDocument/2006/relationships" r:id="rId2"/>
          <a:extLst>
            <a:ext uri="{FF2B5EF4-FFF2-40B4-BE49-F238E27FC236}">
              <a16:creationId xmlns:a16="http://schemas.microsoft.com/office/drawing/2014/main" id="{6D7F418C-B909-4334-8AA4-13DE3B660310}"/>
            </a:ext>
          </a:extLst>
        </xdr:cNvPr>
        <xdr:cNvGrpSpPr/>
      </xdr:nvGrpSpPr>
      <xdr:grpSpPr>
        <a:xfrm>
          <a:off x="9048058" y="93562"/>
          <a:ext cx="2478381" cy="401794"/>
          <a:chOff x="9166864" y="127871"/>
          <a:chExt cx="2537099" cy="386554"/>
        </a:xfrm>
      </xdr:grpSpPr>
      <xdr:grpSp>
        <xdr:nvGrpSpPr>
          <xdr:cNvPr id="4" name="AddRowButton">
            <a:extLst>
              <a:ext uri="{FF2B5EF4-FFF2-40B4-BE49-F238E27FC236}">
                <a16:creationId xmlns:a16="http://schemas.microsoft.com/office/drawing/2014/main" id="{891E0A77-0AD4-17FE-3EDE-18D07D79435C}"/>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6" name="Rectangle: Rounded Corners 5">
              <a:hlinkClick xmlns:r="http://schemas.openxmlformats.org/officeDocument/2006/relationships" r:id="rId2"/>
              <a:extLst>
                <a:ext uri="{FF2B5EF4-FFF2-40B4-BE49-F238E27FC236}">
                  <a16:creationId xmlns:a16="http://schemas.microsoft.com/office/drawing/2014/main" id="{B297BD74-4912-A6B1-55C5-4AAA140E5220}"/>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7" name="TextBox 6">
              <a:hlinkClick xmlns:r="http://schemas.openxmlformats.org/officeDocument/2006/relationships" r:id="rId2"/>
              <a:extLst>
                <a:ext uri="{FF2B5EF4-FFF2-40B4-BE49-F238E27FC236}">
                  <a16:creationId xmlns:a16="http://schemas.microsoft.com/office/drawing/2014/main" id="{35631707-C602-CADE-075A-1DC10A25929E}"/>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Tracking</a:t>
              </a:r>
            </a:p>
          </xdr:txBody>
        </xdr:sp>
      </xdr:grpSp>
      <xdr:pic>
        <xdr:nvPicPr>
          <xdr:cNvPr id="5" name="Picture 4">
            <a:extLst>
              <a:ext uri="{FF2B5EF4-FFF2-40B4-BE49-F238E27FC236}">
                <a16:creationId xmlns:a16="http://schemas.microsoft.com/office/drawing/2014/main" id="{015D5C01-F585-A923-2DF5-38AAB91960C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2547" y="177147"/>
            <a:ext cx="306434" cy="288000"/>
          </a:xfrm>
          <a:prstGeom prst="rect">
            <a:avLst/>
          </a:prstGeom>
        </xdr:spPr>
      </xdr:pic>
    </xdr:grpSp>
    <xdr:clientData/>
  </xdr:twoCellAnchor>
  <xdr:twoCellAnchor editAs="absolute">
    <xdr:from>
      <xdr:col>14</xdr:col>
      <xdr:colOff>289084</xdr:colOff>
      <xdr:row>0</xdr:row>
      <xdr:rowOff>91657</xdr:rowOff>
    </xdr:from>
    <xdr:to>
      <xdr:col>18</xdr:col>
      <xdr:colOff>74780</xdr:colOff>
      <xdr:row>0</xdr:row>
      <xdr:rowOff>493451</xdr:rowOff>
    </xdr:to>
    <xdr:grpSp>
      <xdr:nvGrpSpPr>
        <xdr:cNvPr id="9" name="Group 8">
          <a:hlinkClick xmlns:r="http://schemas.openxmlformats.org/officeDocument/2006/relationships" r:id="rId4"/>
          <a:extLst>
            <a:ext uri="{FF2B5EF4-FFF2-40B4-BE49-F238E27FC236}">
              <a16:creationId xmlns:a16="http://schemas.microsoft.com/office/drawing/2014/main" id="{3539EC89-1C7B-44FA-815F-FFEFBF215229}"/>
            </a:ext>
          </a:extLst>
        </xdr:cNvPr>
        <xdr:cNvGrpSpPr/>
      </xdr:nvGrpSpPr>
      <xdr:grpSpPr>
        <a:xfrm>
          <a:off x="11957209" y="91657"/>
          <a:ext cx="2395546" cy="401794"/>
          <a:chOff x="9166864" y="127871"/>
          <a:chExt cx="2537099" cy="386554"/>
        </a:xfrm>
      </xdr:grpSpPr>
      <xdr:grpSp>
        <xdr:nvGrpSpPr>
          <xdr:cNvPr id="10" name="AddRowButton">
            <a:extLst>
              <a:ext uri="{FF2B5EF4-FFF2-40B4-BE49-F238E27FC236}">
                <a16:creationId xmlns:a16="http://schemas.microsoft.com/office/drawing/2014/main" id="{E9A97315-CF5C-BAE1-BDD7-FEEA549658EC}"/>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14" name="Rectangle: Rounded Corners 13">
              <a:hlinkClick xmlns:r="http://schemas.openxmlformats.org/officeDocument/2006/relationships" r:id="rId4"/>
              <a:extLst>
                <a:ext uri="{FF2B5EF4-FFF2-40B4-BE49-F238E27FC236}">
                  <a16:creationId xmlns:a16="http://schemas.microsoft.com/office/drawing/2014/main" id="{9FCF43AF-5E0E-25E2-105E-212807FCCD70}"/>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18" name="TextBox 17">
              <a:extLst>
                <a:ext uri="{FF2B5EF4-FFF2-40B4-BE49-F238E27FC236}">
                  <a16:creationId xmlns:a16="http://schemas.microsoft.com/office/drawing/2014/main" id="{90F86F62-BEAE-0DD3-A499-7C3664CE9A75}"/>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11" name="Picture 10">
            <a:extLst>
              <a:ext uri="{FF2B5EF4-FFF2-40B4-BE49-F238E27FC236}">
                <a16:creationId xmlns:a16="http://schemas.microsoft.com/office/drawing/2014/main" id="{CEF01B46-3F0B-3D58-3999-908AC7625F5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441964</xdr:colOff>
      <xdr:row>14</xdr:row>
      <xdr:rowOff>181255</xdr:rowOff>
    </xdr:from>
    <xdr:to>
      <xdr:col>13</xdr:col>
      <xdr:colOff>132777</xdr:colOff>
      <xdr:row>17</xdr:row>
      <xdr:rowOff>21071</xdr:rowOff>
    </xdr:to>
    <xdr:grpSp>
      <xdr:nvGrpSpPr>
        <xdr:cNvPr id="59" name="AddRowButton">
          <a:extLst>
            <a:ext uri="{FF2B5EF4-FFF2-40B4-BE49-F238E27FC236}">
              <a16:creationId xmlns:a16="http://schemas.microsoft.com/office/drawing/2014/main" id="{2BC30AA5-3909-D00F-2DED-510A4C1E65BD}"/>
            </a:ext>
          </a:extLst>
        </xdr:cNvPr>
        <xdr:cNvGrpSpPr/>
      </xdr:nvGrpSpPr>
      <xdr:grpSpPr>
        <a:xfrm>
          <a:off x="12594435" y="4346538"/>
          <a:ext cx="2353527" cy="385598"/>
          <a:chOff x="11537150" y="3280161"/>
          <a:chExt cx="2266858" cy="337962"/>
        </a:xfrm>
        <a:solidFill>
          <a:schemeClr val="accent5">
            <a:lumMod val="75000"/>
          </a:schemeClr>
        </a:solidFill>
      </xdr:grpSpPr>
      <xdr:sp macro="[0]!Module2.AddEntryToTable"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1537150" y="3280161"/>
            <a:ext cx="2160000" cy="337962"/>
          </a:xfrm>
          <a:prstGeom prst="roundRect">
            <a:avLst>
              <a:gd name="adj" fmla="val 50000"/>
            </a:avLst>
          </a:prstGeom>
          <a:solidFill>
            <a:srgbClr val="002060"/>
          </a:solidFill>
          <a:ln>
            <a:noFill/>
          </a:ln>
          <a:scene3d>
            <a:camera prst="orthographicFront"/>
            <a:lightRig rig="morning" dir="t">
              <a:rot lat="0" lon="0" rev="2400000"/>
            </a:lightRig>
          </a:scene3d>
          <a:sp3d extrusionH="76200" contourW="12700" prstMaterial="softEdge">
            <a:bevelT w="101600" h="107950" prst="divot"/>
            <a:extrusionClr>
              <a:schemeClr val="tx1"/>
            </a:extrusionClr>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400" b="1">
              <a:solidFill>
                <a:schemeClr val="lt1"/>
              </a:solidFill>
              <a:latin typeface="Arial Nova Light" panose="020B0304020202020204" pitchFamily="34" charset="0"/>
              <a:ea typeface="+mn-ea"/>
              <a:cs typeface="+mn-cs"/>
            </a:endParaRPr>
          </a:p>
        </xdr:txBody>
      </xdr:sp>
      <xdr:pic macro="[0]!Module2.AddEntryToTable">
        <xdr:nvPicPr>
          <xdr:cNvPr id="9" name="Graphic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251769" y="3280161"/>
            <a:ext cx="337959" cy="337962"/>
          </a:xfrm>
          <a:prstGeom prst="rect">
            <a:avLst/>
          </a:prstGeom>
        </xdr:spPr>
      </xdr:pic>
      <xdr:sp macro="[0]!Module2.AddEntryToTable" textlink="">
        <xdr:nvSpPr>
          <xdr:cNvPr id="14" name="TextBox 13">
            <a:extLst>
              <a:ext uri="{FF2B5EF4-FFF2-40B4-BE49-F238E27FC236}">
                <a16:creationId xmlns:a16="http://schemas.microsoft.com/office/drawing/2014/main" id="{00000000-0008-0000-0200-00000E000000}"/>
              </a:ext>
            </a:extLst>
          </xdr:cNvPr>
          <xdr:cNvSpPr txBox="1"/>
        </xdr:nvSpPr>
        <xdr:spPr>
          <a:xfrm>
            <a:off x="12553559" y="3280161"/>
            <a:ext cx="125044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1">
                <a:solidFill>
                  <a:schemeClr val="bg1"/>
                </a:solidFill>
                <a:latin typeface="Arial Nova Light" panose="020B0304020202020204" pitchFamily="34" charset="0"/>
              </a:rPr>
              <a:t>ADD</a:t>
            </a:r>
          </a:p>
        </xdr:txBody>
      </xdr:sp>
    </xdr:grpSp>
    <xdr:clientData/>
  </xdr:twoCellAnchor>
  <xdr:twoCellAnchor editAs="oneCell">
    <xdr:from>
      <xdr:col>1</xdr:col>
      <xdr:colOff>171449</xdr:colOff>
      <xdr:row>1</xdr:row>
      <xdr:rowOff>143254</xdr:rowOff>
    </xdr:from>
    <xdr:to>
      <xdr:col>2</xdr:col>
      <xdr:colOff>281940</xdr:colOff>
      <xdr:row>1</xdr:row>
      <xdr:rowOff>1029064</xdr:rowOff>
    </xdr:to>
    <xdr:grpSp>
      <xdr:nvGrpSpPr>
        <xdr:cNvPr id="28" name="Group 27">
          <a:extLst>
            <a:ext uri="{FF2B5EF4-FFF2-40B4-BE49-F238E27FC236}">
              <a16:creationId xmlns:a16="http://schemas.microsoft.com/office/drawing/2014/main" id="{431BEF3E-72AF-39EC-2CA2-D1A5290794DD}"/>
            </a:ext>
          </a:extLst>
        </xdr:cNvPr>
        <xdr:cNvGrpSpPr/>
      </xdr:nvGrpSpPr>
      <xdr:grpSpPr>
        <a:xfrm>
          <a:off x="425290" y="736662"/>
          <a:ext cx="1313023" cy="887715"/>
          <a:chOff x="619124" y="710196"/>
          <a:chExt cx="1314451" cy="882000"/>
        </a:xfrm>
      </xdr:grpSpPr>
      <xdr:sp macro="" textlink="">
        <xdr:nvSpPr>
          <xdr:cNvPr id="336" name="Rectangle: Rounded Corners 335">
            <a:extLst>
              <a:ext uri="{FF2B5EF4-FFF2-40B4-BE49-F238E27FC236}">
                <a16:creationId xmlns:a16="http://schemas.microsoft.com/office/drawing/2014/main" id="{BDF3A2D8-8B8C-4E0B-8AC5-31AB0FCE207C}"/>
              </a:ext>
            </a:extLst>
          </xdr:cNvPr>
          <xdr:cNvSpPr/>
        </xdr:nvSpPr>
        <xdr:spPr>
          <a:xfrm>
            <a:off x="619124" y="710196"/>
            <a:ext cx="1314451" cy="882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37" name="TextBox 336">
            <a:extLst>
              <a:ext uri="{FF2B5EF4-FFF2-40B4-BE49-F238E27FC236}">
                <a16:creationId xmlns:a16="http://schemas.microsoft.com/office/drawing/2014/main" id="{9F22ACEF-1803-4A1C-95C5-85B803A8AA21}"/>
              </a:ext>
            </a:extLst>
          </xdr:cNvPr>
          <xdr:cNvSpPr txBox="1"/>
        </xdr:nvSpPr>
        <xdr:spPr>
          <a:xfrm>
            <a:off x="676387" y="736519"/>
            <a:ext cx="1199924"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400" b="1">
                <a:solidFill>
                  <a:schemeClr val="accent5">
                    <a:lumMod val="75000"/>
                  </a:schemeClr>
                </a:solidFill>
              </a:rPr>
              <a:t>Today's</a:t>
            </a:r>
            <a:r>
              <a:rPr lang="en-GB" sz="1400" b="1" baseline="0">
                <a:solidFill>
                  <a:schemeClr val="accent5">
                    <a:lumMod val="75000"/>
                  </a:schemeClr>
                </a:solidFill>
              </a:rPr>
              <a:t> Date</a:t>
            </a:r>
            <a:endParaRPr lang="en-GB" sz="1400" b="1">
              <a:solidFill>
                <a:schemeClr val="accent5">
                  <a:lumMod val="75000"/>
                </a:schemeClr>
              </a:solidFill>
            </a:endParaRPr>
          </a:p>
        </xdr:txBody>
      </xdr:sp>
      <xdr:sp macro="" textlink="Calculations!D5">
        <xdr:nvSpPr>
          <xdr:cNvPr id="338" name="TextBox 337">
            <a:extLst>
              <a:ext uri="{FF2B5EF4-FFF2-40B4-BE49-F238E27FC236}">
                <a16:creationId xmlns:a16="http://schemas.microsoft.com/office/drawing/2014/main" id="{D43C3D05-6B75-4115-B85F-353C00F3B3DC}"/>
              </a:ext>
            </a:extLst>
          </xdr:cNvPr>
          <xdr:cNvSpPr txBox="1"/>
        </xdr:nvSpPr>
        <xdr:spPr>
          <a:xfrm>
            <a:off x="754349" y="1117518"/>
            <a:ext cx="1044000" cy="349200"/>
          </a:xfrm>
          <a:prstGeom prst="round2DiagRect">
            <a:avLst>
              <a:gd name="adj1" fmla="val 50000"/>
              <a:gd name="adj2" fmla="val 50000"/>
            </a:avLst>
          </a:prstGeom>
          <a:noFill/>
          <a:ln w="9525" cmpd="sng">
            <a:solidFill>
              <a:schemeClr val="accent5">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E2DE66-1DDF-400F-8D3B-9BC12D952287}" type="TxLink">
              <a:rPr lang="en-US" sz="1100" b="1" i="0" u="none" strike="noStrike">
                <a:solidFill>
                  <a:srgbClr val="002060"/>
                </a:solidFill>
                <a:latin typeface="Arial Nova Light"/>
              </a:rPr>
              <a:pPr algn="ctr"/>
              <a:t>09-Jan-25</a:t>
            </a:fld>
            <a:endParaRPr lang="en-GB" sz="1100" b="1">
              <a:solidFill>
                <a:srgbClr val="002060"/>
              </a:solidFill>
            </a:endParaRPr>
          </a:p>
        </xdr:txBody>
      </xdr:sp>
    </xdr:grpSp>
    <xdr:clientData/>
  </xdr:twoCellAnchor>
  <xdr:twoCellAnchor editAs="oneCell">
    <xdr:from>
      <xdr:col>4</xdr:col>
      <xdr:colOff>315759</xdr:colOff>
      <xdr:row>1</xdr:row>
      <xdr:rowOff>147064</xdr:rowOff>
    </xdr:from>
    <xdr:to>
      <xdr:col>5</xdr:col>
      <xdr:colOff>1619731</xdr:colOff>
      <xdr:row>1</xdr:row>
      <xdr:rowOff>1029064</xdr:rowOff>
    </xdr:to>
    <xdr:grpSp>
      <xdr:nvGrpSpPr>
        <xdr:cNvPr id="30" name="Group 29">
          <a:extLst>
            <a:ext uri="{FF2B5EF4-FFF2-40B4-BE49-F238E27FC236}">
              <a16:creationId xmlns:a16="http://schemas.microsoft.com/office/drawing/2014/main" id="{30087972-BE7B-D5E7-2EA8-B59A05650C85}"/>
            </a:ext>
          </a:extLst>
        </xdr:cNvPr>
        <xdr:cNvGrpSpPr/>
      </xdr:nvGrpSpPr>
      <xdr:grpSpPr>
        <a:xfrm>
          <a:off x="4687258" y="740472"/>
          <a:ext cx="2703194" cy="883905"/>
          <a:chOff x="4895851" y="717407"/>
          <a:chExt cx="2709862" cy="882000"/>
        </a:xfrm>
      </xdr:grpSpPr>
      <xdr:sp macro="" textlink="">
        <xdr:nvSpPr>
          <xdr:cNvPr id="343" name="Rectangle: Rounded Corners 342">
            <a:extLst>
              <a:ext uri="{FF2B5EF4-FFF2-40B4-BE49-F238E27FC236}">
                <a16:creationId xmlns:a16="http://schemas.microsoft.com/office/drawing/2014/main" id="{77CCCF6D-C2CB-4723-8C11-B73CA416BA1F}"/>
              </a:ext>
            </a:extLst>
          </xdr:cNvPr>
          <xdr:cNvSpPr/>
        </xdr:nvSpPr>
        <xdr:spPr>
          <a:xfrm>
            <a:off x="4895851" y="717407"/>
            <a:ext cx="2709862" cy="882000"/>
          </a:xfrm>
          <a:prstGeom prst="roundRect">
            <a:avLst>
              <a:gd name="adj" fmla="val 6463"/>
            </a:avLst>
          </a:prstGeom>
          <a:solidFill>
            <a:schemeClr val="bg1"/>
          </a:solidFill>
          <a:ln w="12700">
            <a:noFill/>
          </a:ln>
          <a:effectLst>
            <a:outerShdw blurRad="127000" dist="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4" name="TextBox 343">
            <a:extLst>
              <a:ext uri="{FF2B5EF4-FFF2-40B4-BE49-F238E27FC236}">
                <a16:creationId xmlns:a16="http://schemas.microsoft.com/office/drawing/2014/main" id="{38AB51FB-B065-4AF2-8E50-1B80735286DF}"/>
              </a:ext>
            </a:extLst>
          </xdr:cNvPr>
          <xdr:cNvSpPr txBox="1"/>
        </xdr:nvSpPr>
        <xdr:spPr>
          <a:xfrm>
            <a:off x="5079410" y="736519"/>
            <a:ext cx="2342745"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accent5">
                    <a:lumMod val="75000"/>
                  </a:schemeClr>
                </a:solidFill>
              </a:rPr>
              <a:t>Number of Tracked Record</a:t>
            </a:r>
            <a:endParaRPr lang="en-GB" sz="1400" b="1">
              <a:solidFill>
                <a:schemeClr val="accent5">
                  <a:lumMod val="75000"/>
                </a:schemeClr>
              </a:solidFill>
            </a:endParaRPr>
          </a:p>
        </xdr:txBody>
      </xdr:sp>
      <xdr:grpSp>
        <xdr:nvGrpSpPr>
          <xdr:cNvPr id="26" name="Group 25">
            <a:extLst>
              <a:ext uri="{FF2B5EF4-FFF2-40B4-BE49-F238E27FC236}">
                <a16:creationId xmlns:a16="http://schemas.microsoft.com/office/drawing/2014/main" id="{90DFC7C5-1F6D-8A1A-F4BA-3DF59EF1F964}"/>
              </a:ext>
            </a:extLst>
          </xdr:cNvPr>
          <xdr:cNvGrpSpPr/>
        </xdr:nvGrpSpPr>
        <xdr:grpSpPr>
          <a:xfrm>
            <a:off x="4973133" y="1117518"/>
            <a:ext cx="2555299" cy="349200"/>
            <a:chOff x="5074446" y="1117518"/>
            <a:chExt cx="2555299" cy="349200"/>
          </a:xfrm>
        </xdr:grpSpPr>
        <xdr:sp macro="" textlink="Calculations!D8">
          <xdr:nvSpPr>
            <xdr:cNvPr id="345" name="TextBox 344">
              <a:extLst>
                <a:ext uri="{FF2B5EF4-FFF2-40B4-BE49-F238E27FC236}">
                  <a16:creationId xmlns:a16="http://schemas.microsoft.com/office/drawing/2014/main" id="{85C5C950-36AE-471D-B66E-A2C90E66A0FA}"/>
                </a:ext>
              </a:extLst>
            </xdr:cNvPr>
            <xdr:cNvSpPr txBox="1"/>
          </xdr:nvSpPr>
          <xdr:spPr>
            <a:xfrm>
              <a:off x="5074446" y="1117518"/>
              <a:ext cx="1174173" cy="349200"/>
            </a:xfrm>
            <a:prstGeom prst="round2DiagRect">
              <a:avLst>
                <a:gd name="adj1" fmla="val 0"/>
                <a:gd name="adj2" fmla="val 0"/>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FE3E1FE-A4A5-45AD-8CFD-0F4B3852921A}" type="TxLink">
                <a:rPr lang="en-US" sz="1100" b="1" i="0" u="none" strike="noStrike">
                  <a:solidFill>
                    <a:srgbClr val="002060"/>
                  </a:solidFill>
                  <a:latin typeface="Arial Nova Light"/>
                  <a:ea typeface="+mn-ea"/>
                  <a:cs typeface="+mn-cs"/>
                </a:rPr>
                <a:pPr marL="0" indent="0" algn="ctr"/>
                <a:t>45</a:t>
              </a:fld>
              <a:endParaRPr lang="en-GB" sz="1200" b="1" i="0" u="none" strike="noStrike">
                <a:solidFill>
                  <a:srgbClr val="002060"/>
                </a:solidFill>
                <a:latin typeface="Arial Nova Light"/>
                <a:ea typeface="+mn-ea"/>
                <a:cs typeface="+mn-cs"/>
              </a:endParaRPr>
            </a:p>
          </xdr:txBody>
        </xdr:sp>
        <xdr:sp macro="" textlink="Calculations!D9">
          <xdr:nvSpPr>
            <xdr:cNvPr id="346" name="TextBox 345">
              <a:extLst>
                <a:ext uri="{FF2B5EF4-FFF2-40B4-BE49-F238E27FC236}">
                  <a16:creationId xmlns:a16="http://schemas.microsoft.com/office/drawing/2014/main" id="{7D665489-1F29-4070-8854-C270D322A9D3}"/>
                </a:ext>
              </a:extLst>
            </xdr:cNvPr>
            <xdr:cNvSpPr txBox="1"/>
          </xdr:nvSpPr>
          <xdr:spPr>
            <a:xfrm>
              <a:off x="6272081" y="1117518"/>
              <a:ext cx="1357664" cy="349200"/>
            </a:xfrm>
            <a:prstGeom prst="round2DiagRect">
              <a:avLst>
                <a:gd name="adj1" fmla="val 0"/>
                <a:gd name="adj2" fmla="val 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46AB6D-52C5-453C-80D1-5003DE72C603}" type="TxLink">
                <a:rPr lang="en-US" sz="1100" b="0" i="0" u="none" strike="noStrike">
                  <a:solidFill>
                    <a:srgbClr val="000000"/>
                  </a:solidFill>
                  <a:latin typeface="Arial Nova Light"/>
                  <a:ea typeface="+mn-ea"/>
                  <a:cs typeface="+mn-cs"/>
                </a:rPr>
                <a:pPr marL="0" indent="0" algn="ctr"/>
                <a:t>( 0 this year )</a:t>
              </a:fld>
              <a:endParaRPr lang="en-GB" sz="1100" b="1" i="0" u="none" strike="noStrike">
                <a:solidFill>
                  <a:schemeClr val="tx1"/>
                </a:solidFill>
                <a:latin typeface="Arial Nova Light"/>
                <a:ea typeface="+mn-ea"/>
                <a:cs typeface="+mn-cs"/>
              </a:endParaRPr>
            </a:p>
          </xdr:txBody>
        </xdr:sp>
      </xdr:grpSp>
    </xdr:grpSp>
    <xdr:clientData/>
  </xdr:twoCellAnchor>
  <xdr:twoCellAnchor editAs="oneCell">
    <xdr:from>
      <xdr:col>2</xdr:col>
      <xdr:colOff>403379</xdr:colOff>
      <xdr:row>1</xdr:row>
      <xdr:rowOff>147064</xdr:rowOff>
    </xdr:from>
    <xdr:to>
      <xdr:col>4</xdr:col>
      <xdr:colOff>205750</xdr:colOff>
      <xdr:row>1</xdr:row>
      <xdr:rowOff>1029064</xdr:rowOff>
    </xdr:to>
    <xdr:grpSp>
      <xdr:nvGrpSpPr>
        <xdr:cNvPr id="29" name="Group 28">
          <a:extLst>
            <a:ext uri="{FF2B5EF4-FFF2-40B4-BE49-F238E27FC236}">
              <a16:creationId xmlns:a16="http://schemas.microsoft.com/office/drawing/2014/main" id="{72C2674B-2509-99E2-EBC1-FB6846ECE0A3}"/>
            </a:ext>
          </a:extLst>
        </xdr:cNvPr>
        <xdr:cNvGrpSpPr/>
      </xdr:nvGrpSpPr>
      <xdr:grpSpPr>
        <a:xfrm>
          <a:off x="1852132" y="740472"/>
          <a:ext cx="2727022" cy="883905"/>
          <a:chOff x="2100724" y="700672"/>
          <a:chExt cx="2709401" cy="882000"/>
        </a:xfrm>
      </xdr:grpSpPr>
      <xdr:sp macro="" textlink="">
        <xdr:nvSpPr>
          <xdr:cNvPr id="339" name="Rectangle: Rounded Corners 338">
            <a:extLst>
              <a:ext uri="{FF2B5EF4-FFF2-40B4-BE49-F238E27FC236}">
                <a16:creationId xmlns:a16="http://schemas.microsoft.com/office/drawing/2014/main" id="{3946310A-6969-4305-8367-208B81B074A4}"/>
              </a:ext>
            </a:extLst>
          </xdr:cNvPr>
          <xdr:cNvSpPr/>
        </xdr:nvSpPr>
        <xdr:spPr>
          <a:xfrm>
            <a:off x="2100724" y="700672"/>
            <a:ext cx="2709401" cy="882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0" name="TextBox 339">
            <a:extLst>
              <a:ext uri="{FF2B5EF4-FFF2-40B4-BE49-F238E27FC236}">
                <a16:creationId xmlns:a16="http://schemas.microsoft.com/office/drawing/2014/main" id="{A074C25A-7E90-4476-B5BB-BD300B3348DD}"/>
              </a:ext>
            </a:extLst>
          </xdr:cNvPr>
          <xdr:cNvSpPr txBox="1"/>
        </xdr:nvSpPr>
        <xdr:spPr>
          <a:xfrm>
            <a:off x="2174226" y="736519"/>
            <a:ext cx="2562396"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accent5">
                    <a:lumMod val="75000"/>
                  </a:schemeClr>
                </a:solidFill>
              </a:rPr>
              <a:t>Date of Last Record</a:t>
            </a:r>
            <a:endParaRPr lang="en-GB" sz="1400" b="1">
              <a:solidFill>
                <a:schemeClr val="accent5">
                  <a:lumMod val="75000"/>
                </a:schemeClr>
              </a:solidFill>
            </a:endParaRPr>
          </a:p>
        </xdr:txBody>
      </xdr:sp>
      <xdr:grpSp>
        <xdr:nvGrpSpPr>
          <xdr:cNvPr id="25" name="Group 24">
            <a:extLst>
              <a:ext uri="{FF2B5EF4-FFF2-40B4-BE49-F238E27FC236}">
                <a16:creationId xmlns:a16="http://schemas.microsoft.com/office/drawing/2014/main" id="{BDA655B8-7F70-2F45-4C41-0EB8E6E5734B}"/>
              </a:ext>
            </a:extLst>
          </xdr:cNvPr>
          <xdr:cNvGrpSpPr/>
        </xdr:nvGrpSpPr>
        <xdr:grpSpPr>
          <a:xfrm>
            <a:off x="2217175" y="1117518"/>
            <a:ext cx="2476499" cy="349200"/>
            <a:chOff x="2219325" y="1117518"/>
            <a:chExt cx="2476499" cy="349200"/>
          </a:xfrm>
        </xdr:grpSpPr>
        <xdr:sp macro="" textlink="Calculations!D6">
          <xdr:nvSpPr>
            <xdr:cNvPr id="341" name="TextBox 340">
              <a:extLst>
                <a:ext uri="{FF2B5EF4-FFF2-40B4-BE49-F238E27FC236}">
                  <a16:creationId xmlns:a16="http://schemas.microsoft.com/office/drawing/2014/main" id="{2DEACAC6-DB13-4CF8-835C-077EDCF88057}"/>
                </a:ext>
              </a:extLst>
            </xdr:cNvPr>
            <xdr:cNvSpPr txBox="1"/>
          </xdr:nvSpPr>
          <xdr:spPr>
            <a:xfrm>
              <a:off x="2219325" y="1117518"/>
              <a:ext cx="1038225" cy="349200"/>
            </a:xfrm>
            <a:prstGeom prst="round2DiagRect">
              <a:avLst>
                <a:gd name="adj1" fmla="val 50000"/>
                <a:gd name="adj2" fmla="val 50000"/>
              </a:avLst>
            </a:prstGeom>
            <a:noFill/>
            <a:ln w="9525" cmpd="sng">
              <a:solidFill>
                <a:schemeClr val="accent5">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140711-04F2-4AB5-B7C0-B11463163142}" type="TxLink">
                <a:rPr lang="en-US" sz="1100" b="1" i="0" u="none" strike="noStrike">
                  <a:solidFill>
                    <a:srgbClr val="002060"/>
                  </a:solidFill>
                  <a:latin typeface="Arial Nova Light"/>
                  <a:ea typeface="+mn-ea"/>
                  <a:cs typeface="+mn-cs"/>
                </a:rPr>
                <a:pPr marL="0" indent="0" algn="ctr"/>
                <a:t>25-Sep-24</a:t>
              </a:fld>
              <a:endParaRPr lang="en-GB" sz="1100" b="1" i="0" u="none" strike="noStrike">
                <a:solidFill>
                  <a:srgbClr val="002060"/>
                </a:solidFill>
                <a:latin typeface="Arial Nova Light"/>
                <a:ea typeface="+mn-ea"/>
                <a:cs typeface="+mn-cs"/>
              </a:endParaRPr>
            </a:p>
          </xdr:txBody>
        </xdr:sp>
        <xdr:sp macro="" textlink="Calculations!D7">
          <xdr:nvSpPr>
            <xdr:cNvPr id="342" name="TextBox 341">
              <a:extLst>
                <a:ext uri="{FF2B5EF4-FFF2-40B4-BE49-F238E27FC236}">
                  <a16:creationId xmlns:a16="http://schemas.microsoft.com/office/drawing/2014/main" id="{67675A9E-580F-4D23-A61F-21399D973A21}"/>
                </a:ext>
              </a:extLst>
            </xdr:cNvPr>
            <xdr:cNvSpPr txBox="1"/>
          </xdr:nvSpPr>
          <xdr:spPr>
            <a:xfrm>
              <a:off x="3324224" y="1117518"/>
              <a:ext cx="1371600" cy="349200"/>
            </a:xfrm>
            <a:prstGeom prst="round2DiagRect">
              <a:avLst>
                <a:gd name="adj1" fmla="val 0"/>
                <a:gd name="adj2" fmla="val 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1A8357-AA53-4ABD-A289-DF774F91A507}" type="TxLink">
                <a:rPr lang="en-US" sz="1050" b="0" i="0" u="none" strike="noStrike">
                  <a:solidFill>
                    <a:srgbClr val="000000"/>
                  </a:solidFill>
                  <a:latin typeface="Arial Nova Light"/>
                  <a:ea typeface="+mn-ea"/>
                  <a:cs typeface="+mn-cs"/>
                </a:rPr>
                <a:pPr marL="0" indent="0" algn="ctr"/>
                <a:t>( 106 days ago )</a:t>
              </a:fld>
              <a:endParaRPr lang="en-GB" sz="1100" b="1" i="0" u="none" strike="noStrike">
                <a:solidFill>
                  <a:schemeClr val="tx1"/>
                </a:solidFill>
                <a:latin typeface="Arial Nova Light"/>
                <a:ea typeface="+mn-ea"/>
                <a:cs typeface="+mn-cs"/>
              </a:endParaRPr>
            </a:p>
          </xdr:txBody>
        </xdr:sp>
      </xdr:grpSp>
    </xdr:grpSp>
    <xdr:clientData/>
  </xdr:twoCellAnchor>
  <xdr:twoCellAnchor editAs="oneCell">
    <xdr:from>
      <xdr:col>5</xdr:col>
      <xdr:colOff>1733549</xdr:colOff>
      <xdr:row>1</xdr:row>
      <xdr:rowOff>147064</xdr:rowOff>
    </xdr:from>
    <xdr:to>
      <xdr:col>7</xdr:col>
      <xdr:colOff>1142999</xdr:colOff>
      <xdr:row>1</xdr:row>
      <xdr:rowOff>1029064</xdr:rowOff>
    </xdr:to>
    <xdr:grpSp>
      <xdr:nvGrpSpPr>
        <xdr:cNvPr id="31" name="Group 30">
          <a:extLst>
            <a:ext uri="{FF2B5EF4-FFF2-40B4-BE49-F238E27FC236}">
              <a16:creationId xmlns:a16="http://schemas.microsoft.com/office/drawing/2014/main" id="{89B1B645-F250-D79D-8C8D-E3BEEC70BB0C}"/>
            </a:ext>
          </a:extLst>
        </xdr:cNvPr>
        <xdr:cNvGrpSpPr/>
      </xdr:nvGrpSpPr>
      <xdr:grpSpPr>
        <a:xfrm>
          <a:off x="7511890" y="740472"/>
          <a:ext cx="3810953" cy="883905"/>
          <a:chOff x="7667624" y="717407"/>
          <a:chExt cx="3819525" cy="882000"/>
        </a:xfrm>
      </xdr:grpSpPr>
      <xdr:sp macro="" textlink="">
        <xdr:nvSpPr>
          <xdr:cNvPr id="357" name="Rectangle: Rounded Corners 356">
            <a:extLst>
              <a:ext uri="{FF2B5EF4-FFF2-40B4-BE49-F238E27FC236}">
                <a16:creationId xmlns:a16="http://schemas.microsoft.com/office/drawing/2014/main" id="{4BF904FF-06DD-46CE-625E-38E3687B7A1E}"/>
              </a:ext>
            </a:extLst>
          </xdr:cNvPr>
          <xdr:cNvSpPr/>
        </xdr:nvSpPr>
        <xdr:spPr>
          <a:xfrm>
            <a:off x="7667624" y="717407"/>
            <a:ext cx="3819525" cy="882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8" name="TextBox 357">
            <a:extLst>
              <a:ext uri="{FF2B5EF4-FFF2-40B4-BE49-F238E27FC236}">
                <a16:creationId xmlns:a16="http://schemas.microsoft.com/office/drawing/2014/main" id="{00947C0B-6F01-38D5-DC3F-E7AC35FA7989}"/>
              </a:ext>
            </a:extLst>
          </xdr:cNvPr>
          <xdr:cNvSpPr txBox="1"/>
        </xdr:nvSpPr>
        <xdr:spPr>
          <a:xfrm>
            <a:off x="8430972" y="736519"/>
            <a:ext cx="2292828"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baseline="0">
                <a:solidFill>
                  <a:schemeClr val="accent5">
                    <a:lumMod val="75000"/>
                  </a:schemeClr>
                </a:solidFill>
              </a:rPr>
              <a:t>Total Tracking Balance</a:t>
            </a:r>
            <a:endParaRPr lang="en-GB" sz="1400" b="1">
              <a:solidFill>
                <a:schemeClr val="accent5">
                  <a:lumMod val="75000"/>
                </a:schemeClr>
              </a:solidFill>
            </a:endParaRPr>
          </a:p>
        </xdr:txBody>
      </xdr:sp>
      <xdr:grpSp>
        <xdr:nvGrpSpPr>
          <xdr:cNvPr id="27" name="Group 26">
            <a:extLst>
              <a:ext uri="{FF2B5EF4-FFF2-40B4-BE49-F238E27FC236}">
                <a16:creationId xmlns:a16="http://schemas.microsoft.com/office/drawing/2014/main" id="{41CEB2C3-CCFD-E8A2-F2E6-838275DD65BD}"/>
              </a:ext>
            </a:extLst>
          </xdr:cNvPr>
          <xdr:cNvGrpSpPr/>
        </xdr:nvGrpSpPr>
        <xdr:grpSpPr>
          <a:xfrm>
            <a:off x="7736632" y="1117518"/>
            <a:ext cx="3671983" cy="349200"/>
            <a:chOff x="7729442" y="1117518"/>
            <a:chExt cx="3671983" cy="349200"/>
          </a:xfrm>
        </xdr:grpSpPr>
        <xdr:sp macro="" textlink="Calculations!D10">
          <xdr:nvSpPr>
            <xdr:cNvPr id="359" name="TextBox 358">
              <a:extLst>
                <a:ext uri="{FF2B5EF4-FFF2-40B4-BE49-F238E27FC236}">
                  <a16:creationId xmlns:a16="http://schemas.microsoft.com/office/drawing/2014/main" id="{E09508CE-4C0B-9B71-CF3F-D1444FA93262}"/>
                </a:ext>
              </a:extLst>
            </xdr:cNvPr>
            <xdr:cNvSpPr txBox="1"/>
          </xdr:nvSpPr>
          <xdr:spPr>
            <a:xfrm>
              <a:off x="7729442" y="1117518"/>
              <a:ext cx="1047394" cy="349200"/>
            </a:xfrm>
            <a:prstGeom prst="round2DiagRect">
              <a:avLst>
                <a:gd name="adj1" fmla="val 0"/>
                <a:gd name="adj2" fmla="val 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CDD2660-E5E8-480D-9FA2-FC0F806C3C50}" type="TxLink">
                <a:rPr lang="en-US" sz="1100" b="1" i="0" u="none" strike="noStrike">
                  <a:solidFill>
                    <a:srgbClr val="002060"/>
                  </a:solidFill>
                  <a:latin typeface="Arial Nova Light"/>
                  <a:ea typeface="+mn-ea"/>
                  <a:cs typeface="+mn-cs"/>
                </a:rPr>
                <a:pPr marL="0" indent="0" algn="ctr"/>
                <a:t> 461,000 </a:t>
              </a:fld>
              <a:endParaRPr lang="en-GB" sz="1100" b="1" i="0" u="none" strike="noStrike">
                <a:solidFill>
                  <a:srgbClr val="002060"/>
                </a:solidFill>
                <a:latin typeface="Arial Nova Light"/>
                <a:ea typeface="+mn-ea"/>
                <a:cs typeface="+mn-cs"/>
              </a:endParaRPr>
            </a:p>
          </xdr:txBody>
        </xdr:sp>
        <xdr:sp macro="" textlink="Calculations!D11">
          <xdr:nvSpPr>
            <xdr:cNvPr id="360" name="TextBox 359">
              <a:extLst>
                <a:ext uri="{FF2B5EF4-FFF2-40B4-BE49-F238E27FC236}">
                  <a16:creationId xmlns:a16="http://schemas.microsoft.com/office/drawing/2014/main" id="{87C64329-148E-341B-56BF-E536E07D4233}"/>
                </a:ext>
              </a:extLst>
            </xdr:cNvPr>
            <xdr:cNvSpPr txBox="1"/>
          </xdr:nvSpPr>
          <xdr:spPr>
            <a:xfrm>
              <a:off x="8826487" y="1117518"/>
              <a:ext cx="2574938" cy="349200"/>
            </a:xfrm>
            <a:prstGeom prst="round2DiagRect">
              <a:avLst>
                <a:gd name="adj1" fmla="val 0"/>
                <a:gd name="adj2" fmla="val 0"/>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87628A1-CA1A-48C5-948E-B6FF953EF68D}" type="TxLink">
                <a:rPr lang="en-US" sz="1000" b="0" i="0" u="none" strike="noStrike">
                  <a:solidFill>
                    <a:srgbClr val="000000"/>
                  </a:solidFill>
                  <a:latin typeface="Arial Nova Light"/>
                  <a:ea typeface="+mn-ea"/>
                  <a:cs typeface="+mn-cs"/>
                </a:rPr>
                <a:pPr marL="0" indent="0" algn="l"/>
                <a:t>Remaining Tracked Income to be Allocated</a:t>
              </a:fld>
              <a:endParaRPr lang="en-GB" sz="1000" b="1" i="0" u="none" strike="noStrike">
                <a:solidFill>
                  <a:schemeClr val="tx1"/>
                </a:solidFill>
                <a:latin typeface="Arial Nova Light"/>
                <a:ea typeface="+mn-ea"/>
                <a:cs typeface="+mn-cs"/>
              </a:endParaRPr>
            </a:p>
          </xdr:txBody>
        </xdr:sp>
      </xdr:grpSp>
    </xdr:grpSp>
    <xdr:clientData/>
  </xdr:twoCellAnchor>
  <xdr:twoCellAnchor editAs="oneCell">
    <xdr:from>
      <xdr:col>5</xdr:col>
      <xdr:colOff>2747014</xdr:colOff>
      <xdr:row>0</xdr:row>
      <xdr:rowOff>108821</xdr:rowOff>
    </xdr:from>
    <xdr:to>
      <xdr:col>7</xdr:col>
      <xdr:colOff>744855</xdr:colOff>
      <xdr:row>0</xdr:row>
      <xdr:rowOff>495375</xdr:rowOff>
    </xdr:to>
    <xdr:grpSp>
      <xdr:nvGrpSpPr>
        <xdr:cNvPr id="8" name="Group 7">
          <a:hlinkClick xmlns:r="http://schemas.openxmlformats.org/officeDocument/2006/relationships" r:id="rId3"/>
          <a:extLst>
            <a:ext uri="{FF2B5EF4-FFF2-40B4-BE49-F238E27FC236}">
              <a16:creationId xmlns:a16="http://schemas.microsoft.com/office/drawing/2014/main" id="{E9C6BDD7-6124-11DA-8341-30D6DC419138}"/>
            </a:ext>
          </a:extLst>
        </xdr:cNvPr>
        <xdr:cNvGrpSpPr/>
      </xdr:nvGrpSpPr>
      <xdr:grpSpPr>
        <a:xfrm>
          <a:off x="8523450" y="106916"/>
          <a:ext cx="2397439" cy="388459"/>
          <a:chOff x="9166864" y="127871"/>
          <a:chExt cx="2537099" cy="386554"/>
        </a:xfrm>
      </xdr:grpSpPr>
      <xdr:grpSp>
        <xdr:nvGrpSpPr>
          <xdr:cNvPr id="3" name="AddRowButton">
            <a:extLst>
              <a:ext uri="{FF2B5EF4-FFF2-40B4-BE49-F238E27FC236}">
                <a16:creationId xmlns:a16="http://schemas.microsoft.com/office/drawing/2014/main" id="{84D09DA4-89B1-7506-9AE0-8897EBBDB8E5}"/>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4" name="Rectangle: Rounded Corners 3">
              <a:hlinkClick xmlns:r="http://schemas.openxmlformats.org/officeDocument/2006/relationships" r:id="rId3"/>
              <a:extLst>
                <a:ext uri="{FF2B5EF4-FFF2-40B4-BE49-F238E27FC236}">
                  <a16:creationId xmlns:a16="http://schemas.microsoft.com/office/drawing/2014/main" id="{4BCEE34A-275E-65A1-AE22-88150D8D3CFA}"/>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6" name="TextBox 5">
              <a:extLst>
                <a:ext uri="{FF2B5EF4-FFF2-40B4-BE49-F238E27FC236}">
                  <a16:creationId xmlns:a16="http://schemas.microsoft.com/office/drawing/2014/main" id="{4D3C6276-7CD5-8216-A563-EBD924827AF5}"/>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Planning</a:t>
              </a:r>
            </a:p>
          </xdr:txBody>
        </xdr:sp>
      </xdr:grpSp>
      <xdr:pic>
        <xdr:nvPicPr>
          <xdr:cNvPr id="7" name="Picture 6">
            <a:extLst>
              <a:ext uri="{FF2B5EF4-FFF2-40B4-BE49-F238E27FC236}">
                <a16:creationId xmlns:a16="http://schemas.microsoft.com/office/drawing/2014/main" id="{3D69D361-734E-4BA8-A4F4-DAF424C0F4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7</xdr:col>
      <xdr:colOff>918214</xdr:colOff>
      <xdr:row>0</xdr:row>
      <xdr:rowOff>108821</xdr:rowOff>
    </xdr:from>
    <xdr:to>
      <xdr:col>12</xdr:col>
      <xdr:colOff>478155</xdr:colOff>
      <xdr:row>0</xdr:row>
      <xdr:rowOff>495375</xdr:rowOff>
    </xdr:to>
    <xdr:grpSp>
      <xdr:nvGrpSpPr>
        <xdr:cNvPr id="10" name="Group 9">
          <a:hlinkClick xmlns:r="http://schemas.openxmlformats.org/officeDocument/2006/relationships" r:id="rId5"/>
          <a:extLst>
            <a:ext uri="{FF2B5EF4-FFF2-40B4-BE49-F238E27FC236}">
              <a16:creationId xmlns:a16="http://schemas.microsoft.com/office/drawing/2014/main" id="{F6229FA1-3657-5051-0862-98F06772BF6F}"/>
            </a:ext>
          </a:extLst>
        </xdr:cNvPr>
        <xdr:cNvGrpSpPr/>
      </xdr:nvGrpSpPr>
      <xdr:grpSpPr>
        <a:xfrm>
          <a:off x="11099963" y="106916"/>
          <a:ext cx="2399820" cy="388459"/>
          <a:chOff x="9166864" y="127871"/>
          <a:chExt cx="2537099" cy="386554"/>
        </a:xfrm>
      </xdr:grpSpPr>
      <xdr:grpSp>
        <xdr:nvGrpSpPr>
          <xdr:cNvPr id="15" name="AddRowButton">
            <a:extLst>
              <a:ext uri="{FF2B5EF4-FFF2-40B4-BE49-F238E27FC236}">
                <a16:creationId xmlns:a16="http://schemas.microsoft.com/office/drawing/2014/main" id="{0BC11A4D-703D-DCBC-B6E7-DA24422D4EBC}"/>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17" name="Rectangle: Rounded Corners 16">
              <a:hlinkClick xmlns:r="http://schemas.openxmlformats.org/officeDocument/2006/relationships" r:id="rId5"/>
              <a:extLst>
                <a:ext uri="{FF2B5EF4-FFF2-40B4-BE49-F238E27FC236}">
                  <a16:creationId xmlns:a16="http://schemas.microsoft.com/office/drawing/2014/main" id="{1694F91E-5290-8A60-9757-A64E20F1C628}"/>
                </a:ext>
              </a:extLst>
            </xdr:cNvPr>
            <xdr:cNvSpPr/>
          </xdr:nvSpPr>
          <xdr:spPr>
            <a:xfrm>
              <a:off x="11537151" y="3284328"/>
              <a:ext cx="2160000" cy="337962"/>
            </a:xfrm>
            <a:prstGeom prst="roundRect">
              <a:avLst>
                <a:gd name="adj" fmla="val 10575"/>
              </a:avLst>
            </a:prstGeom>
            <a:solidFill>
              <a:srgbClr val="EAD1DC"/>
            </a:solid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21" name="TextBox 20">
              <a:extLst>
                <a:ext uri="{FF2B5EF4-FFF2-40B4-BE49-F238E27FC236}">
                  <a16:creationId xmlns:a16="http://schemas.microsoft.com/office/drawing/2014/main" id="{970D165B-5953-63BE-CA85-9157C8FC9D6A}"/>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16" name="Picture 15">
            <a:extLst>
              <a:ext uri="{FF2B5EF4-FFF2-40B4-BE49-F238E27FC236}">
                <a16:creationId xmlns:a16="http://schemas.microsoft.com/office/drawing/2014/main" id="{D9CA4DA8-CA94-5A1C-AF08-1BEF6FE590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31</xdr:col>
      <xdr:colOff>190500</xdr:colOff>
      <xdr:row>11</xdr:row>
      <xdr:rowOff>85725</xdr:rowOff>
    </xdr:from>
    <xdr:to>
      <xdr:col>35</xdr:col>
      <xdr:colOff>76835</xdr:colOff>
      <xdr:row>12</xdr:row>
      <xdr:rowOff>167640</xdr:rowOff>
    </xdr:to>
    <xdr:sp macro="" textlink="">
      <xdr:nvSpPr>
        <xdr:cNvPr id="2" name="TextBox 1">
          <a:extLst>
            <a:ext uri="{FF2B5EF4-FFF2-40B4-BE49-F238E27FC236}">
              <a16:creationId xmlns:a16="http://schemas.microsoft.com/office/drawing/2014/main" id="{C18F9B46-805B-A255-7816-F6918A0D257D}"/>
            </a:ext>
          </a:extLst>
        </xdr:cNvPr>
        <xdr:cNvSpPr txBox="1"/>
      </xdr:nvSpPr>
      <xdr:spPr>
        <a:xfrm>
          <a:off x="7976577" y="2401033"/>
          <a:ext cx="3427290" cy="271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00B050"/>
              </a:solidFill>
            </a:rPr>
            <a:t>Income</a:t>
          </a:r>
          <a:r>
            <a:rPr lang="en-US" sz="1100" b="1"/>
            <a:t> Categories</a:t>
          </a:r>
          <a:r>
            <a:rPr lang="en-US" sz="1100" b="1" baseline="0"/>
            <a:t> (Tracked)</a:t>
          </a:r>
          <a:endParaRPr lang="en-US" sz="1100" b="1"/>
        </a:p>
      </xdr:txBody>
    </xdr:sp>
    <xdr:clientData/>
  </xdr:twoCellAnchor>
  <xdr:twoCellAnchor editAs="oneCell">
    <xdr:from>
      <xdr:col>31</xdr:col>
      <xdr:colOff>9525</xdr:colOff>
      <xdr:row>13</xdr:row>
      <xdr:rowOff>0</xdr:rowOff>
    </xdr:from>
    <xdr:to>
      <xdr:col>32</xdr:col>
      <xdr:colOff>1240155</xdr:colOff>
      <xdr:row>24</xdr:row>
      <xdr:rowOff>15240</xdr:rowOff>
    </xdr:to>
    <xdr:graphicFrame macro="">
      <xdr:nvGraphicFramePr>
        <xdr:cNvPr id="3" name="Chart 2">
          <a:extLst>
            <a:ext uri="{FF2B5EF4-FFF2-40B4-BE49-F238E27FC236}">
              <a16:creationId xmlns:a16="http://schemas.microsoft.com/office/drawing/2014/main" id="{6A0F0D79-C6C2-470F-8BFA-CE23C1DC954E}"/>
            </a:ext>
            <a:ext uri="{147F2762-F138-4A5C-976F-8EAC2B608ADB}">
              <a16:predDERef xmlns:a16="http://schemas.microsoft.com/office/drawing/2014/main" pred="{C18F9B46-805B-A255-7816-F6918A0D25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190500</xdr:colOff>
      <xdr:row>25</xdr:row>
      <xdr:rowOff>85725</xdr:rowOff>
    </xdr:from>
    <xdr:ext cx="3438525" cy="266700"/>
    <xdr:sp macro="" textlink="">
      <xdr:nvSpPr>
        <xdr:cNvPr id="4" name="TextBox 3">
          <a:extLst>
            <a:ext uri="{FF2B5EF4-FFF2-40B4-BE49-F238E27FC236}">
              <a16:creationId xmlns:a16="http://schemas.microsoft.com/office/drawing/2014/main" id="{843F415B-6EA0-41DB-9683-7877D7AC931D}"/>
            </a:ext>
          </a:extLst>
        </xdr:cNvPr>
        <xdr:cNvSpPr txBox="1"/>
      </xdr:nvSpPr>
      <xdr:spPr>
        <a:xfrm>
          <a:off x="7962900" y="2352675"/>
          <a:ext cx="3438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D10878"/>
              </a:solidFill>
            </a:rPr>
            <a:t>Expenses</a:t>
          </a:r>
          <a:r>
            <a:rPr lang="en-US" sz="1100" b="1"/>
            <a:t> Categories</a:t>
          </a:r>
          <a:r>
            <a:rPr lang="en-US" sz="1100" b="1" baseline="0"/>
            <a:t> (Tracked)</a:t>
          </a:r>
          <a:endParaRPr lang="en-US" sz="1100" b="1"/>
        </a:p>
      </xdr:txBody>
    </xdr:sp>
    <xdr:clientData/>
  </xdr:oneCellAnchor>
  <xdr:oneCellAnchor>
    <xdr:from>
      <xdr:col>31</xdr:col>
      <xdr:colOff>9525</xdr:colOff>
      <xdr:row>27</xdr:row>
      <xdr:rowOff>0</xdr:rowOff>
    </xdr:from>
    <xdr:ext cx="2124075" cy="2009775"/>
    <xdr:graphicFrame macro="">
      <xdr:nvGraphicFramePr>
        <xdr:cNvPr id="5" name="Chart 4">
          <a:extLst>
            <a:ext uri="{FF2B5EF4-FFF2-40B4-BE49-F238E27FC236}">
              <a16:creationId xmlns:a16="http://schemas.microsoft.com/office/drawing/2014/main" id="{11E1D210-BF38-4D24-98CB-48D11F4831E7}"/>
            </a:ext>
            <a:ext uri="{147F2762-F138-4A5C-976F-8EAC2B608ADB}">
              <a16:predDERef xmlns:a16="http://schemas.microsoft.com/office/drawing/2014/main" pred="{843F415B-6EA0-41DB-9683-7877D7AC9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190500</xdr:colOff>
      <xdr:row>25</xdr:row>
      <xdr:rowOff>85725</xdr:rowOff>
    </xdr:from>
    <xdr:ext cx="3438525" cy="266700"/>
    <xdr:sp macro="" textlink="">
      <xdr:nvSpPr>
        <xdr:cNvPr id="6" name="TextBox 5">
          <a:extLst>
            <a:ext uri="{FF2B5EF4-FFF2-40B4-BE49-F238E27FC236}">
              <a16:creationId xmlns:a16="http://schemas.microsoft.com/office/drawing/2014/main" id="{CCE8A053-486E-409B-9244-80EF4C5DFBEE}"/>
            </a:ext>
          </a:extLst>
        </xdr:cNvPr>
        <xdr:cNvSpPr txBox="1"/>
      </xdr:nvSpPr>
      <xdr:spPr>
        <a:xfrm>
          <a:off x="12939346" y="4999648"/>
          <a:ext cx="3438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D19108"/>
              </a:solidFill>
            </a:rPr>
            <a:t>Savings</a:t>
          </a:r>
          <a:r>
            <a:rPr lang="en-US" sz="1100" b="1"/>
            <a:t> Categories</a:t>
          </a:r>
          <a:r>
            <a:rPr lang="en-US" sz="1100" b="1" baseline="0"/>
            <a:t> (Tracked)</a:t>
          </a:r>
          <a:endParaRPr lang="en-US" sz="1100" b="1"/>
        </a:p>
      </xdr:txBody>
    </xdr:sp>
    <xdr:clientData/>
  </xdr:oneCellAnchor>
  <xdr:oneCellAnchor>
    <xdr:from>
      <xdr:col>38</xdr:col>
      <xdr:colOff>9525</xdr:colOff>
      <xdr:row>27</xdr:row>
      <xdr:rowOff>0</xdr:rowOff>
    </xdr:from>
    <xdr:ext cx="2124075" cy="2009775"/>
    <xdr:graphicFrame macro="">
      <xdr:nvGraphicFramePr>
        <xdr:cNvPr id="7" name="Chart 6">
          <a:extLst>
            <a:ext uri="{FF2B5EF4-FFF2-40B4-BE49-F238E27FC236}">
              <a16:creationId xmlns:a16="http://schemas.microsoft.com/office/drawing/2014/main" id="{837ABC44-C748-4E20-9FCC-25D2CC640481}"/>
            </a:ext>
            <a:ext uri="{147F2762-F138-4A5C-976F-8EAC2B608ADB}">
              <a16:predDERef xmlns:a16="http://schemas.microsoft.com/office/drawing/2014/main" pred="{CCE8A053-486E-409B-9244-80EF4C5DFB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190500</xdr:colOff>
      <xdr:row>11</xdr:row>
      <xdr:rowOff>85725</xdr:rowOff>
    </xdr:from>
    <xdr:to>
      <xdr:col>42</xdr:col>
      <xdr:colOff>121969</xdr:colOff>
      <xdr:row>12</xdr:row>
      <xdr:rowOff>167640</xdr:rowOff>
    </xdr:to>
    <xdr:sp macro="" textlink="">
      <xdr:nvSpPr>
        <xdr:cNvPr id="11" name="TextBox 10">
          <a:extLst>
            <a:ext uri="{FF2B5EF4-FFF2-40B4-BE49-F238E27FC236}">
              <a16:creationId xmlns:a16="http://schemas.microsoft.com/office/drawing/2014/main" id="{13249263-62AD-4783-9FA5-F72417AEFB13}"/>
            </a:ext>
          </a:extLst>
        </xdr:cNvPr>
        <xdr:cNvSpPr txBox="1"/>
      </xdr:nvSpPr>
      <xdr:spPr>
        <a:xfrm>
          <a:off x="12939346" y="2401033"/>
          <a:ext cx="3427290" cy="271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95000"/>
                  <a:lumOff val="5000"/>
                </a:schemeClr>
              </a:solidFill>
            </a:rPr>
            <a:t>Tracked VS Budget</a:t>
          </a:r>
        </a:p>
      </xdr:txBody>
    </xdr:sp>
    <xdr:clientData/>
  </xdr:twoCellAnchor>
  <xdr:twoCellAnchor>
    <xdr:from>
      <xdr:col>38</xdr:col>
      <xdr:colOff>9768</xdr:colOff>
      <xdr:row>12</xdr:row>
      <xdr:rowOff>127000</xdr:rowOff>
    </xdr:from>
    <xdr:to>
      <xdr:col>44</xdr:col>
      <xdr:colOff>9768</xdr:colOff>
      <xdr:row>23</xdr:row>
      <xdr:rowOff>175846</xdr:rowOff>
    </xdr:to>
    <xdr:graphicFrame macro="">
      <xdr:nvGraphicFramePr>
        <xdr:cNvPr id="14" name="Chart 13">
          <a:extLst>
            <a:ext uri="{FF2B5EF4-FFF2-40B4-BE49-F238E27FC236}">
              <a16:creationId xmlns:a16="http://schemas.microsoft.com/office/drawing/2014/main" id="{86F687E2-7FCE-41B1-A6BD-E2D50429C15C}"/>
            </a:ext>
            <a:ext uri="{147F2762-F138-4A5C-976F-8EAC2B608ADB}">
              <a16:predDERef xmlns:a16="http://schemas.microsoft.com/office/drawing/2014/main" pred="{13249263-62AD-4783-9FA5-F72417AEFB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664308</xdr:colOff>
      <xdr:row>11</xdr:row>
      <xdr:rowOff>58615</xdr:rowOff>
    </xdr:from>
    <xdr:to>
      <xdr:col>43</xdr:col>
      <xdr:colOff>576385</xdr:colOff>
      <xdr:row>13</xdr:row>
      <xdr:rowOff>9770</xdr:rowOff>
    </xdr:to>
    <xdr:sp macro="" textlink="">
      <xdr:nvSpPr>
        <xdr:cNvPr id="16" name="Rectangle 15">
          <a:extLst>
            <a:ext uri="{FF2B5EF4-FFF2-40B4-BE49-F238E27FC236}">
              <a16:creationId xmlns:a16="http://schemas.microsoft.com/office/drawing/2014/main" id="{8301A867-CE19-E2D8-DCAA-ACB9877781DD}"/>
            </a:ext>
          </a:extLst>
        </xdr:cNvPr>
        <xdr:cNvSpPr/>
      </xdr:nvSpPr>
      <xdr:spPr>
        <a:xfrm>
          <a:off x="14292385" y="2373923"/>
          <a:ext cx="3126154" cy="322385"/>
        </a:xfrm>
        <a:prstGeom prst="rect">
          <a:avLst/>
        </a:prstGeom>
        <a:noFill/>
        <a:ln w="317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41</xdr:col>
          <xdr:colOff>243840</xdr:colOff>
          <xdr:row>11</xdr:row>
          <xdr:rowOff>137160</xdr:rowOff>
        </xdr:from>
        <xdr:to>
          <xdr:col>41</xdr:col>
          <xdr:colOff>861060</xdr:colOff>
          <xdr:row>12</xdr:row>
          <xdr:rowOff>99060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22860</xdr:colOff>
          <xdr:row>11</xdr:row>
          <xdr:rowOff>137160</xdr:rowOff>
        </xdr:from>
        <xdr:to>
          <xdr:col>42</xdr:col>
          <xdr:colOff>647700</xdr:colOff>
          <xdr:row>12</xdr:row>
          <xdr:rowOff>99060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Expenditure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982980</xdr:colOff>
          <xdr:row>11</xdr:row>
          <xdr:rowOff>137160</xdr:rowOff>
        </xdr:from>
        <xdr:to>
          <xdr:col>43</xdr:col>
          <xdr:colOff>594360</xdr:colOff>
          <xdr:row>12</xdr:row>
          <xdr:rowOff>91440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777240</xdr:colOff>
          <xdr:row>11</xdr:row>
          <xdr:rowOff>137160</xdr:rowOff>
        </xdr:from>
        <xdr:to>
          <xdr:col>40</xdr:col>
          <xdr:colOff>60960</xdr:colOff>
          <xdr:row>12</xdr:row>
          <xdr:rowOff>99060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Budget</a:t>
              </a:r>
            </a:p>
          </xdr:txBody>
        </xdr:sp>
        <xdr:clientData/>
      </xdr:twoCellAnchor>
    </mc:Choice>
    <mc:Fallback/>
  </mc:AlternateContent>
  <xdr:twoCellAnchor editAs="oneCell">
    <xdr:from>
      <xdr:col>24</xdr:col>
      <xdr:colOff>141458</xdr:colOff>
      <xdr:row>2</xdr:row>
      <xdr:rowOff>9377</xdr:rowOff>
    </xdr:from>
    <xdr:to>
      <xdr:col>26</xdr:col>
      <xdr:colOff>416559</xdr:colOff>
      <xdr:row>8</xdr:row>
      <xdr:rowOff>16570</xdr:rowOff>
    </xdr:to>
    <xdr:grpSp>
      <xdr:nvGrpSpPr>
        <xdr:cNvPr id="33" name="Group 32">
          <a:extLst>
            <a:ext uri="{FF2B5EF4-FFF2-40B4-BE49-F238E27FC236}">
              <a16:creationId xmlns:a16="http://schemas.microsoft.com/office/drawing/2014/main" id="{68AE60A5-ECE1-CFAD-DD90-F01EBFE3A200}"/>
            </a:ext>
          </a:extLst>
        </xdr:cNvPr>
        <xdr:cNvGrpSpPr/>
      </xdr:nvGrpSpPr>
      <xdr:grpSpPr>
        <a:xfrm>
          <a:off x="425938" y="812017"/>
          <a:ext cx="2937021" cy="1226393"/>
          <a:chOff x="527538" y="576383"/>
          <a:chExt cx="2932538" cy="1188000"/>
        </a:xfrm>
      </xdr:grpSpPr>
      <xdr:sp macro="" textlink="">
        <xdr:nvSpPr>
          <xdr:cNvPr id="18" name="Rectangle: Rounded Corners 17">
            <a:extLst>
              <a:ext uri="{FF2B5EF4-FFF2-40B4-BE49-F238E27FC236}">
                <a16:creationId xmlns:a16="http://schemas.microsoft.com/office/drawing/2014/main" id="{A16570FC-A3C2-A295-C301-10AAEAE3ABD8}"/>
              </a:ext>
            </a:extLst>
          </xdr:cNvPr>
          <xdr:cNvSpPr/>
        </xdr:nvSpPr>
        <xdr:spPr>
          <a:xfrm>
            <a:off x="527538" y="576383"/>
            <a:ext cx="2932538" cy="1188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a:p>
        </xdr:txBody>
      </xdr:sp>
      <xdr:sp macro="" textlink="">
        <xdr:nvSpPr>
          <xdr:cNvPr id="19" name="TextBox 18">
            <a:extLst>
              <a:ext uri="{FF2B5EF4-FFF2-40B4-BE49-F238E27FC236}">
                <a16:creationId xmlns:a16="http://schemas.microsoft.com/office/drawing/2014/main" id="{F7ED9DDF-5974-496E-B7B2-A354EC55F8FB}"/>
              </a:ext>
            </a:extLst>
          </xdr:cNvPr>
          <xdr:cNvSpPr txBox="1"/>
        </xdr:nvSpPr>
        <xdr:spPr>
          <a:xfrm>
            <a:off x="949479" y="751407"/>
            <a:ext cx="2088656"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5">
                    <a:lumMod val="75000"/>
                  </a:schemeClr>
                </a:solidFill>
              </a:rPr>
              <a:t>Selected</a:t>
            </a:r>
            <a:r>
              <a:rPr lang="en-GB" sz="1400" b="1" baseline="0">
                <a:solidFill>
                  <a:schemeClr val="accent5">
                    <a:lumMod val="75000"/>
                  </a:schemeClr>
                </a:solidFill>
              </a:rPr>
              <a:t> year &amp; Period</a:t>
            </a:r>
            <a:endParaRPr lang="en-GB" sz="1400" b="1">
              <a:solidFill>
                <a:schemeClr val="accent5">
                  <a:lumMod val="75000"/>
                </a:schemeClr>
              </a:solidFill>
            </a:endParaRPr>
          </a:p>
        </xdr:txBody>
      </xdr:sp>
      <xdr:sp macro="" textlink="selected_year">
        <xdr:nvSpPr>
          <xdr:cNvPr id="22" name="Rectangle: Rounded Corners 21">
            <a:extLst>
              <a:ext uri="{FF2B5EF4-FFF2-40B4-BE49-F238E27FC236}">
                <a16:creationId xmlns:a16="http://schemas.microsoft.com/office/drawing/2014/main" id="{97FF89A7-8C2E-5D7F-9297-C69BB355A11B}"/>
              </a:ext>
            </a:extLst>
          </xdr:cNvPr>
          <xdr:cNvSpPr/>
        </xdr:nvSpPr>
        <xdr:spPr>
          <a:xfrm>
            <a:off x="801077" y="1216768"/>
            <a:ext cx="859692" cy="351692"/>
          </a:xfrm>
          <a:prstGeom prst="roundRect">
            <a:avLst>
              <a:gd name="adj" fmla="val 50000"/>
            </a:avLst>
          </a:prstGeom>
          <a:no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3BC2E05-1238-40FA-AADA-0DB96753558A}" type="TxLink">
              <a:rPr lang="en-US" sz="1200" b="1" i="0" u="none" strike="noStrike">
                <a:solidFill>
                  <a:srgbClr val="002060"/>
                </a:solidFill>
                <a:latin typeface="Arial Nova Light"/>
              </a:rPr>
              <a:pPr algn="ctr"/>
              <a:t>2024</a:t>
            </a:fld>
            <a:endParaRPr lang="en-US" sz="1200" b="1">
              <a:solidFill>
                <a:srgbClr val="002060"/>
              </a:solidFill>
            </a:endParaRPr>
          </a:p>
        </xdr:txBody>
      </xdr:sp>
      <xdr:sp macro="" textlink="selected_period_display">
        <xdr:nvSpPr>
          <xdr:cNvPr id="23" name="Rectangle: Rounded Corners 22">
            <a:extLst>
              <a:ext uri="{FF2B5EF4-FFF2-40B4-BE49-F238E27FC236}">
                <a16:creationId xmlns:a16="http://schemas.microsoft.com/office/drawing/2014/main" id="{9C691EA2-467F-FC4A-98E4-41EBE55639ED}"/>
              </a:ext>
            </a:extLst>
          </xdr:cNvPr>
          <xdr:cNvSpPr/>
        </xdr:nvSpPr>
        <xdr:spPr>
          <a:xfrm>
            <a:off x="1842477" y="1216768"/>
            <a:ext cx="1312986" cy="351692"/>
          </a:xfrm>
          <a:prstGeom prst="roundRect">
            <a:avLst>
              <a:gd name="adj" fmla="val 50000"/>
            </a:avLst>
          </a:prstGeom>
          <a:noFill/>
          <a:ln>
            <a:solidFill>
              <a:schemeClr val="accent5">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6B3BBE4-BF8E-4437-BD58-84A9CE5A8A13}" type="TxLink">
              <a:rPr lang="en-US" sz="1200" b="1" i="0" u="none" strike="noStrike">
                <a:solidFill>
                  <a:srgbClr val="002060"/>
                </a:solidFill>
                <a:latin typeface="Arial Nova Light"/>
              </a:rPr>
              <a:pPr algn="ctr"/>
              <a:t>Total Year</a:t>
            </a:fld>
            <a:endParaRPr lang="en-US" sz="1400" b="1">
              <a:solidFill>
                <a:srgbClr val="002060"/>
              </a:solidFill>
            </a:endParaRPr>
          </a:p>
        </xdr:txBody>
      </xdr:sp>
    </xdr:grpSp>
    <xdr:clientData/>
  </xdr:twoCellAnchor>
  <xdr:twoCellAnchor editAs="oneCell">
    <xdr:from>
      <xdr:col>26</xdr:col>
      <xdr:colOff>595532</xdr:colOff>
      <xdr:row>2</xdr:row>
      <xdr:rowOff>9377</xdr:rowOff>
    </xdr:from>
    <xdr:to>
      <xdr:col>28</xdr:col>
      <xdr:colOff>743291</xdr:colOff>
      <xdr:row>8</xdr:row>
      <xdr:rowOff>16570</xdr:rowOff>
    </xdr:to>
    <xdr:grpSp>
      <xdr:nvGrpSpPr>
        <xdr:cNvPr id="54" name="Group 53">
          <a:extLst>
            <a:ext uri="{FF2B5EF4-FFF2-40B4-BE49-F238E27FC236}">
              <a16:creationId xmlns:a16="http://schemas.microsoft.com/office/drawing/2014/main" id="{CB611DE0-F21A-8E2B-2A9E-EAB7AFFF556E}"/>
            </a:ext>
          </a:extLst>
        </xdr:cNvPr>
        <xdr:cNvGrpSpPr/>
      </xdr:nvGrpSpPr>
      <xdr:grpSpPr>
        <a:xfrm>
          <a:off x="3541932" y="812017"/>
          <a:ext cx="2017199" cy="1226393"/>
          <a:chOff x="3716216" y="801857"/>
          <a:chExt cx="2003864" cy="1230203"/>
        </a:xfrm>
      </xdr:grpSpPr>
      <xdr:sp macro="" textlink="">
        <xdr:nvSpPr>
          <xdr:cNvPr id="25" name="Rectangle: Rounded Corners 24">
            <a:extLst>
              <a:ext uri="{FF2B5EF4-FFF2-40B4-BE49-F238E27FC236}">
                <a16:creationId xmlns:a16="http://schemas.microsoft.com/office/drawing/2014/main" id="{FB6181CF-5800-69E4-1A27-C71812B4189B}"/>
              </a:ext>
            </a:extLst>
          </xdr:cNvPr>
          <xdr:cNvSpPr/>
        </xdr:nvSpPr>
        <xdr:spPr>
          <a:xfrm>
            <a:off x="3716216" y="801857"/>
            <a:ext cx="2003864" cy="1230203"/>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a:p>
        </xdr:txBody>
      </xdr:sp>
      <xdr:sp macro="" textlink="">
        <xdr:nvSpPr>
          <xdr:cNvPr id="26" name="TextBox 25">
            <a:extLst>
              <a:ext uri="{FF2B5EF4-FFF2-40B4-BE49-F238E27FC236}">
                <a16:creationId xmlns:a16="http://schemas.microsoft.com/office/drawing/2014/main" id="{FAADB1CF-6AAC-42A8-8ABA-AF4529A77C7B}"/>
              </a:ext>
            </a:extLst>
          </xdr:cNvPr>
          <xdr:cNvSpPr txBox="1"/>
        </xdr:nvSpPr>
        <xdr:spPr>
          <a:xfrm>
            <a:off x="3991055" y="972939"/>
            <a:ext cx="1454187" cy="360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5">
                    <a:lumMod val="75000"/>
                  </a:schemeClr>
                </a:solidFill>
              </a:rPr>
              <a:t>Period Complete</a:t>
            </a:r>
          </a:p>
        </xdr:txBody>
      </xdr:sp>
      <xdr:graphicFrame macro="">
        <xdr:nvGraphicFramePr>
          <xdr:cNvPr id="28" name="Chart 27">
            <a:extLst>
              <a:ext uri="{FF2B5EF4-FFF2-40B4-BE49-F238E27FC236}">
                <a16:creationId xmlns:a16="http://schemas.microsoft.com/office/drawing/2014/main" id="{4F7CD66A-6363-4C90-A3D3-91E51FB6E0D4}"/>
              </a:ext>
            </a:extLst>
          </xdr:cNvPr>
          <xdr:cNvGraphicFramePr>
            <a:graphicFrameLocks/>
          </xdr:cNvGraphicFramePr>
        </xdr:nvGraphicFramePr>
        <xdr:xfrm>
          <a:off x="3883039" y="1368327"/>
          <a:ext cx="1683895" cy="559183"/>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D21">
        <xdr:nvSpPr>
          <xdr:cNvPr id="27" name="TextBox 26">
            <a:extLst>
              <a:ext uri="{FF2B5EF4-FFF2-40B4-BE49-F238E27FC236}">
                <a16:creationId xmlns:a16="http://schemas.microsoft.com/office/drawing/2014/main" id="{9615A894-68BA-474F-94D3-C384C296B655}"/>
              </a:ext>
            </a:extLst>
          </xdr:cNvPr>
          <xdr:cNvSpPr txBox="1"/>
        </xdr:nvSpPr>
        <xdr:spPr>
          <a:xfrm>
            <a:off x="3873305" y="1467488"/>
            <a:ext cx="1693630" cy="360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0D630BD-7925-4F67-8246-4017C9662879}" type="TxLink">
              <a:rPr lang="en-US" sz="1200" b="1" i="0" u="none" strike="noStrike">
                <a:solidFill>
                  <a:srgbClr val="002060"/>
                </a:solidFill>
                <a:latin typeface="Arial Nova Light"/>
                <a:ea typeface="+mn-ea"/>
                <a:cs typeface="+mn-cs"/>
              </a:rPr>
              <a:pPr marL="0" indent="0" algn="ctr"/>
              <a:t>100%</a:t>
            </a:fld>
            <a:endParaRPr lang="en-GB" sz="1200" b="1" i="0" u="none" strike="noStrike">
              <a:solidFill>
                <a:srgbClr val="002060"/>
              </a:solidFill>
              <a:latin typeface="Arial Nova Light"/>
              <a:ea typeface="+mn-ea"/>
              <a:cs typeface="+mn-cs"/>
            </a:endParaRPr>
          </a:p>
        </xdr:txBody>
      </xdr:sp>
    </xdr:grpSp>
    <xdr:clientData/>
  </xdr:twoCellAnchor>
  <xdr:twoCellAnchor editAs="oneCell">
    <xdr:from>
      <xdr:col>28</xdr:col>
      <xdr:colOff>908929</xdr:colOff>
      <xdr:row>2</xdr:row>
      <xdr:rowOff>9377</xdr:rowOff>
    </xdr:from>
    <xdr:to>
      <xdr:col>34</xdr:col>
      <xdr:colOff>15339</xdr:colOff>
      <xdr:row>8</xdr:row>
      <xdr:rowOff>16570</xdr:rowOff>
    </xdr:to>
    <xdr:grpSp>
      <xdr:nvGrpSpPr>
        <xdr:cNvPr id="35" name="Group 34">
          <a:extLst>
            <a:ext uri="{FF2B5EF4-FFF2-40B4-BE49-F238E27FC236}">
              <a16:creationId xmlns:a16="http://schemas.microsoft.com/office/drawing/2014/main" id="{FCC77A38-A89E-64D1-557B-6FE26C99397E}"/>
            </a:ext>
          </a:extLst>
        </xdr:cNvPr>
        <xdr:cNvGrpSpPr/>
      </xdr:nvGrpSpPr>
      <xdr:grpSpPr>
        <a:xfrm>
          <a:off x="5724769" y="812017"/>
          <a:ext cx="4227050" cy="1226393"/>
          <a:chOff x="6066690" y="576383"/>
          <a:chExt cx="4220309" cy="1188000"/>
        </a:xfrm>
      </xdr:grpSpPr>
      <xdr:sp macro="" textlink="">
        <xdr:nvSpPr>
          <xdr:cNvPr id="17" name="Rectangle: Rounded Corners 16">
            <a:extLst>
              <a:ext uri="{FF2B5EF4-FFF2-40B4-BE49-F238E27FC236}">
                <a16:creationId xmlns:a16="http://schemas.microsoft.com/office/drawing/2014/main" id="{A824413D-C49A-3853-764C-EB59D172F6EA}"/>
              </a:ext>
            </a:extLst>
          </xdr:cNvPr>
          <xdr:cNvSpPr/>
        </xdr:nvSpPr>
        <xdr:spPr>
          <a:xfrm>
            <a:off x="6066690" y="576383"/>
            <a:ext cx="4220309" cy="1188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a:p>
        </xdr:txBody>
      </xdr:sp>
      <xdr:sp macro="" textlink="Calculations!D22">
        <xdr:nvSpPr>
          <xdr:cNvPr id="12" name="TextBox 11">
            <a:extLst>
              <a:ext uri="{FF2B5EF4-FFF2-40B4-BE49-F238E27FC236}">
                <a16:creationId xmlns:a16="http://schemas.microsoft.com/office/drawing/2014/main" id="{5F903ECC-5F08-7E57-CD36-DDBD6E7BB586}"/>
              </a:ext>
            </a:extLst>
          </xdr:cNvPr>
          <xdr:cNvSpPr txBox="1"/>
        </xdr:nvSpPr>
        <xdr:spPr>
          <a:xfrm>
            <a:off x="6160205" y="1218374"/>
            <a:ext cx="1122347" cy="348480"/>
          </a:xfrm>
          <a:prstGeom prst="roundRect">
            <a:avLst>
              <a:gd name="adj" fmla="val 50000"/>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65839FD-D706-42F3-8736-D4158B61F09E}" type="TxLink">
              <a:rPr lang="en-US" sz="1200" b="1" i="0" u="none" strike="noStrike">
                <a:solidFill>
                  <a:srgbClr val="002060"/>
                </a:solidFill>
                <a:latin typeface="Arial Nova Light"/>
                <a:ea typeface="+mn-ea"/>
                <a:cs typeface="+mn-cs"/>
              </a:rPr>
              <a:pPr marL="0" indent="0" algn="ctr"/>
              <a:t> 461,000 </a:t>
            </a:fld>
            <a:endParaRPr lang="en-GB" sz="1200" b="1" i="0" u="none" strike="noStrike">
              <a:solidFill>
                <a:srgbClr val="002060"/>
              </a:solidFill>
              <a:latin typeface="Arial Nova Light"/>
              <a:ea typeface="+mn-ea"/>
              <a:cs typeface="+mn-cs"/>
            </a:endParaRPr>
          </a:p>
        </xdr:txBody>
      </xdr:sp>
      <xdr:sp macro="" textlink="Calculations!D23">
        <xdr:nvSpPr>
          <xdr:cNvPr id="13" name="TextBox 12">
            <a:extLst>
              <a:ext uri="{FF2B5EF4-FFF2-40B4-BE49-F238E27FC236}">
                <a16:creationId xmlns:a16="http://schemas.microsoft.com/office/drawing/2014/main" id="{EE7CF7F2-4547-7A42-8A08-0D22C8E8BEFB}"/>
              </a:ext>
            </a:extLst>
          </xdr:cNvPr>
          <xdr:cNvSpPr txBox="1"/>
        </xdr:nvSpPr>
        <xdr:spPr>
          <a:xfrm>
            <a:off x="7282552" y="1218374"/>
            <a:ext cx="2919163" cy="348480"/>
          </a:xfrm>
          <a:prstGeom prst="roundRect">
            <a:avLst>
              <a:gd name="adj" fmla="val 5000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C55205E-5CAD-44B4-8E9F-A70B0D008A3E}" type="TxLink">
              <a:rPr lang="en-US" sz="1100" b="0" i="0" u="none" strike="noStrike">
                <a:solidFill>
                  <a:srgbClr val="000000"/>
                </a:solidFill>
                <a:latin typeface="Arial Nova Light"/>
                <a:ea typeface="+mn-ea"/>
                <a:cs typeface="+mn-cs"/>
              </a:rPr>
              <a:pPr marL="0" indent="0" algn="l"/>
              <a:t>Remaining Tracked Income to be Allocated</a:t>
            </a:fld>
            <a:endParaRPr lang="en-GB" sz="1050" b="1" i="0" u="none" strike="noStrike">
              <a:solidFill>
                <a:schemeClr val="tx1"/>
              </a:solidFill>
              <a:latin typeface="Arial Nova Light"/>
              <a:ea typeface="+mn-ea"/>
              <a:cs typeface="+mn-cs"/>
            </a:endParaRPr>
          </a:p>
        </xdr:txBody>
      </xdr:sp>
      <xdr:sp macro="" textlink="">
        <xdr:nvSpPr>
          <xdr:cNvPr id="20" name="TextBox 19">
            <a:extLst>
              <a:ext uri="{FF2B5EF4-FFF2-40B4-BE49-F238E27FC236}">
                <a16:creationId xmlns:a16="http://schemas.microsoft.com/office/drawing/2014/main" id="{5E040636-CDDA-9C96-FC7B-AF627C3C6F87}"/>
              </a:ext>
            </a:extLst>
          </xdr:cNvPr>
          <xdr:cNvSpPr txBox="1"/>
        </xdr:nvSpPr>
        <xdr:spPr>
          <a:xfrm>
            <a:off x="7132517" y="751407"/>
            <a:ext cx="2088656"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5">
                    <a:lumMod val="75000"/>
                  </a:schemeClr>
                </a:solidFill>
              </a:rPr>
              <a:t>Period Tracking Balance</a:t>
            </a:r>
          </a:p>
        </xdr:txBody>
      </xdr:sp>
    </xdr:grpSp>
    <xdr:clientData/>
  </xdr:twoCellAnchor>
  <xdr:twoCellAnchor editAs="oneCell">
    <xdr:from>
      <xdr:col>34</xdr:col>
      <xdr:colOff>182882</xdr:colOff>
      <xdr:row>2</xdr:row>
      <xdr:rowOff>9377</xdr:rowOff>
    </xdr:from>
    <xdr:to>
      <xdr:col>38</xdr:col>
      <xdr:colOff>643890</xdr:colOff>
      <xdr:row>8</xdr:row>
      <xdr:rowOff>16570</xdr:rowOff>
    </xdr:to>
    <xdr:grpSp>
      <xdr:nvGrpSpPr>
        <xdr:cNvPr id="36" name="Group 35">
          <a:extLst>
            <a:ext uri="{FF2B5EF4-FFF2-40B4-BE49-F238E27FC236}">
              <a16:creationId xmlns:a16="http://schemas.microsoft.com/office/drawing/2014/main" id="{6E300EE4-F723-8D40-BD55-6CB7C6844E49}"/>
            </a:ext>
          </a:extLst>
        </xdr:cNvPr>
        <xdr:cNvGrpSpPr/>
      </xdr:nvGrpSpPr>
      <xdr:grpSpPr>
        <a:xfrm>
          <a:off x="10119362" y="812017"/>
          <a:ext cx="3224528" cy="1226393"/>
          <a:chOff x="10221499" y="576383"/>
          <a:chExt cx="3208723" cy="1188000"/>
        </a:xfrm>
      </xdr:grpSpPr>
      <xdr:sp macro="" textlink="">
        <xdr:nvSpPr>
          <xdr:cNvPr id="24" name="Rectangle: Rounded Corners 23">
            <a:extLst>
              <a:ext uri="{FF2B5EF4-FFF2-40B4-BE49-F238E27FC236}">
                <a16:creationId xmlns:a16="http://schemas.microsoft.com/office/drawing/2014/main" id="{606FB938-FF38-CE7F-3701-DC98B7B427E6}"/>
              </a:ext>
            </a:extLst>
          </xdr:cNvPr>
          <xdr:cNvSpPr/>
        </xdr:nvSpPr>
        <xdr:spPr>
          <a:xfrm>
            <a:off x="10221499" y="576383"/>
            <a:ext cx="3208723" cy="1188000"/>
          </a:xfrm>
          <a:prstGeom prst="roundRect">
            <a:avLst>
              <a:gd name="adj" fmla="val 6463"/>
            </a:avLst>
          </a:prstGeom>
          <a:solidFill>
            <a:schemeClr val="bg1"/>
          </a:solidFill>
          <a:ln w="12700">
            <a:noFill/>
          </a:ln>
          <a:effectLst>
            <a:outerShdw blurRad="127000" dir="5400000" sx="102000" sy="102000" algn="ctr" rotWithShape="0">
              <a:schemeClr val="tx1">
                <a:alpha val="1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a:p>
        </xdr:txBody>
      </xdr:sp>
      <xdr:sp macro="" textlink="Calculations!D24">
        <xdr:nvSpPr>
          <xdr:cNvPr id="29" name="TextBox 28">
            <a:extLst>
              <a:ext uri="{FF2B5EF4-FFF2-40B4-BE49-F238E27FC236}">
                <a16:creationId xmlns:a16="http://schemas.microsoft.com/office/drawing/2014/main" id="{126E773B-1252-05C0-D111-3D84DE12377A}"/>
              </a:ext>
            </a:extLst>
          </xdr:cNvPr>
          <xdr:cNvSpPr txBox="1"/>
        </xdr:nvSpPr>
        <xdr:spPr>
          <a:xfrm>
            <a:off x="11418476" y="1218374"/>
            <a:ext cx="685603" cy="3484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A5B43C2-D67F-42E2-A435-F5BB13B52622}" type="TxLink">
              <a:rPr lang="en-US" sz="1400" b="1" i="0" u="none" strike="noStrike">
                <a:solidFill>
                  <a:srgbClr val="D19108"/>
                </a:solidFill>
                <a:latin typeface="Arial Nova Light"/>
                <a:ea typeface="+mn-ea"/>
                <a:cs typeface="+mn-cs"/>
              </a:rPr>
              <a:pPr marL="0" indent="0" algn="ctr"/>
              <a:t>5.6%</a:t>
            </a:fld>
            <a:endParaRPr lang="en-GB" sz="1400" b="1" i="0" u="none" strike="noStrike">
              <a:solidFill>
                <a:srgbClr val="D19108"/>
              </a:solidFill>
              <a:latin typeface="Arial Nova Light"/>
              <a:ea typeface="+mn-ea"/>
              <a:cs typeface="+mn-cs"/>
            </a:endParaRPr>
          </a:p>
        </xdr:txBody>
      </xdr:sp>
      <xdr:sp macro="" textlink="Calculations!D23">
        <xdr:nvSpPr>
          <xdr:cNvPr id="30" name="TextBox 29">
            <a:extLst>
              <a:ext uri="{FF2B5EF4-FFF2-40B4-BE49-F238E27FC236}">
                <a16:creationId xmlns:a16="http://schemas.microsoft.com/office/drawing/2014/main" id="{2DC1B51F-866F-BDD8-82B6-2418F475258C}"/>
              </a:ext>
            </a:extLst>
          </xdr:cNvPr>
          <xdr:cNvSpPr txBox="1"/>
        </xdr:nvSpPr>
        <xdr:spPr>
          <a:xfrm>
            <a:off x="10453078" y="1218374"/>
            <a:ext cx="1172308"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000000"/>
                </a:solidFill>
                <a:latin typeface="Arial Nova Light"/>
                <a:ea typeface="+mn-ea"/>
                <a:cs typeface="+mn-cs"/>
              </a:rPr>
              <a:t>You are Saving</a:t>
            </a:r>
            <a:endParaRPr lang="en-GB" sz="1050" b="1" i="0" u="none" strike="noStrike">
              <a:solidFill>
                <a:schemeClr val="tx1"/>
              </a:solidFill>
              <a:latin typeface="Arial Nova Light"/>
              <a:ea typeface="+mn-ea"/>
              <a:cs typeface="+mn-cs"/>
            </a:endParaRPr>
          </a:p>
        </xdr:txBody>
      </xdr:sp>
      <xdr:sp macro="" textlink="">
        <xdr:nvSpPr>
          <xdr:cNvPr id="31" name="TextBox 30">
            <a:extLst>
              <a:ext uri="{FF2B5EF4-FFF2-40B4-BE49-F238E27FC236}">
                <a16:creationId xmlns:a16="http://schemas.microsoft.com/office/drawing/2014/main" id="{E86C93DE-22C0-768A-4E95-5CEB1A4CB7B3}"/>
              </a:ext>
            </a:extLst>
          </xdr:cNvPr>
          <xdr:cNvSpPr txBox="1"/>
        </xdr:nvSpPr>
        <xdr:spPr>
          <a:xfrm>
            <a:off x="10781532" y="751407"/>
            <a:ext cx="2088656"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solidFill>
                  <a:schemeClr val="accent5">
                    <a:lumMod val="75000"/>
                  </a:schemeClr>
                </a:solidFill>
              </a:rPr>
              <a:t>Period Savings Rate</a:t>
            </a:r>
          </a:p>
        </xdr:txBody>
      </xdr:sp>
      <xdr:sp macro="" textlink="Calculations!D23">
        <xdr:nvSpPr>
          <xdr:cNvPr id="32" name="TextBox 31">
            <a:extLst>
              <a:ext uri="{FF2B5EF4-FFF2-40B4-BE49-F238E27FC236}">
                <a16:creationId xmlns:a16="http://schemas.microsoft.com/office/drawing/2014/main" id="{D037F1F7-6EA0-642A-3AC7-576193292E08}"/>
              </a:ext>
            </a:extLst>
          </xdr:cNvPr>
          <xdr:cNvSpPr txBox="1"/>
        </xdr:nvSpPr>
        <xdr:spPr>
          <a:xfrm>
            <a:off x="11996619" y="1218374"/>
            <a:ext cx="1172308" cy="348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rgbClr val="000000"/>
                </a:solidFill>
                <a:latin typeface="Arial Nova Light"/>
                <a:ea typeface="+mn-ea"/>
                <a:cs typeface="+mn-cs"/>
              </a:rPr>
              <a:t>of</a:t>
            </a:r>
            <a:r>
              <a:rPr lang="en-US" sz="1100" b="0" i="0" u="none" strike="noStrike" baseline="0">
                <a:solidFill>
                  <a:srgbClr val="000000"/>
                </a:solidFill>
                <a:latin typeface="Arial Nova Light"/>
                <a:ea typeface="+mn-ea"/>
                <a:cs typeface="+mn-cs"/>
              </a:rPr>
              <a:t> your Income</a:t>
            </a:r>
            <a:endParaRPr lang="en-GB" sz="1050" b="1" i="0" u="none" strike="noStrike">
              <a:solidFill>
                <a:schemeClr val="tx1"/>
              </a:solidFill>
              <a:latin typeface="Arial Nova Light"/>
              <a:ea typeface="+mn-ea"/>
              <a:cs typeface="+mn-cs"/>
            </a:endParaRPr>
          </a:p>
        </xdr:txBody>
      </xdr:sp>
    </xdr:grpSp>
    <xdr:clientData/>
  </xdr:twoCellAnchor>
  <xdr:twoCellAnchor editAs="oneCell">
    <xdr:from>
      <xdr:col>31</xdr:col>
      <xdr:colOff>724312</xdr:colOff>
      <xdr:row>0</xdr:row>
      <xdr:rowOff>93854</xdr:rowOff>
    </xdr:from>
    <xdr:to>
      <xdr:col>34</xdr:col>
      <xdr:colOff>742541</xdr:colOff>
      <xdr:row>0</xdr:row>
      <xdr:rowOff>476598</xdr:rowOff>
    </xdr:to>
    <xdr:grpSp>
      <xdr:nvGrpSpPr>
        <xdr:cNvPr id="38" name="Group 37">
          <a:hlinkClick xmlns:r="http://schemas.openxmlformats.org/officeDocument/2006/relationships" r:id="rId6"/>
          <a:extLst>
            <a:ext uri="{FF2B5EF4-FFF2-40B4-BE49-F238E27FC236}">
              <a16:creationId xmlns:a16="http://schemas.microsoft.com/office/drawing/2014/main" id="{CA56FF8A-C503-4C01-9E29-431E8B826098}"/>
            </a:ext>
          </a:extLst>
        </xdr:cNvPr>
        <xdr:cNvGrpSpPr/>
      </xdr:nvGrpSpPr>
      <xdr:grpSpPr>
        <a:xfrm>
          <a:off x="8283352" y="93854"/>
          <a:ext cx="2395669" cy="382744"/>
          <a:chOff x="9166864" y="127871"/>
          <a:chExt cx="2537099" cy="386554"/>
        </a:xfrm>
      </xdr:grpSpPr>
      <xdr:grpSp>
        <xdr:nvGrpSpPr>
          <xdr:cNvPr id="39" name="AddRowButton">
            <a:extLst>
              <a:ext uri="{FF2B5EF4-FFF2-40B4-BE49-F238E27FC236}">
                <a16:creationId xmlns:a16="http://schemas.microsoft.com/office/drawing/2014/main" id="{7E4A693E-FACA-8736-B5F7-EC0DF948B82E}"/>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41" name="Rectangle: Rounded Corners 40">
              <a:hlinkClick xmlns:r="http://schemas.openxmlformats.org/officeDocument/2006/relationships" r:id="rId6"/>
              <a:extLst>
                <a:ext uri="{FF2B5EF4-FFF2-40B4-BE49-F238E27FC236}">
                  <a16:creationId xmlns:a16="http://schemas.microsoft.com/office/drawing/2014/main" id="{DF024510-C1D8-0194-AC5D-60DD2BB8474A}"/>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42" name="TextBox 41">
              <a:hlinkClick xmlns:r="http://schemas.openxmlformats.org/officeDocument/2006/relationships" r:id="rId6"/>
              <a:extLst>
                <a:ext uri="{FF2B5EF4-FFF2-40B4-BE49-F238E27FC236}">
                  <a16:creationId xmlns:a16="http://schemas.microsoft.com/office/drawing/2014/main" id="{80E580B9-F36F-439A-9FBF-9B720014B44F}"/>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Tracking</a:t>
              </a:r>
            </a:p>
          </xdr:txBody>
        </xdr:sp>
      </xdr:grpSp>
      <xdr:pic>
        <xdr:nvPicPr>
          <xdr:cNvPr id="40" name="Picture 39">
            <a:extLst>
              <a:ext uri="{FF2B5EF4-FFF2-40B4-BE49-F238E27FC236}">
                <a16:creationId xmlns:a16="http://schemas.microsoft.com/office/drawing/2014/main" id="{2A4CA9A3-7349-8B75-766A-EBF1B278978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34</xdr:col>
      <xdr:colOff>945428</xdr:colOff>
      <xdr:row>0</xdr:row>
      <xdr:rowOff>93854</xdr:rowOff>
    </xdr:from>
    <xdr:to>
      <xdr:col>38</xdr:col>
      <xdr:colOff>600710</xdr:colOff>
      <xdr:row>0</xdr:row>
      <xdr:rowOff>476598</xdr:rowOff>
    </xdr:to>
    <xdr:grpSp>
      <xdr:nvGrpSpPr>
        <xdr:cNvPr id="43" name="Group 42">
          <a:hlinkClick xmlns:r="http://schemas.openxmlformats.org/officeDocument/2006/relationships" r:id="rId8"/>
          <a:extLst>
            <a:ext uri="{FF2B5EF4-FFF2-40B4-BE49-F238E27FC236}">
              <a16:creationId xmlns:a16="http://schemas.microsoft.com/office/drawing/2014/main" id="{03EC49A8-14AE-4051-8FB3-4F14B8BD046C}"/>
            </a:ext>
          </a:extLst>
        </xdr:cNvPr>
        <xdr:cNvGrpSpPr/>
      </xdr:nvGrpSpPr>
      <xdr:grpSpPr>
        <a:xfrm>
          <a:off x="10881908" y="93854"/>
          <a:ext cx="2418802" cy="382744"/>
          <a:chOff x="9166864" y="127871"/>
          <a:chExt cx="2537099" cy="386554"/>
        </a:xfrm>
      </xdr:grpSpPr>
      <xdr:grpSp>
        <xdr:nvGrpSpPr>
          <xdr:cNvPr id="44" name="AddRowButton">
            <a:extLst>
              <a:ext uri="{FF2B5EF4-FFF2-40B4-BE49-F238E27FC236}">
                <a16:creationId xmlns:a16="http://schemas.microsoft.com/office/drawing/2014/main" id="{33ED5747-7E8D-CEAD-5B0B-D899C3E42D65}"/>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46" name="Rectangle: Rounded Corners 45">
              <a:hlinkClick xmlns:r="http://schemas.openxmlformats.org/officeDocument/2006/relationships" r:id="rId8"/>
              <a:extLst>
                <a:ext uri="{FF2B5EF4-FFF2-40B4-BE49-F238E27FC236}">
                  <a16:creationId xmlns:a16="http://schemas.microsoft.com/office/drawing/2014/main" id="{7AA6A378-AD6F-3032-5647-B7424D1B2458}"/>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47" name="TextBox 46">
              <a:extLst>
                <a:ext uri="{FF2B5EF4-FFF2-40B4-BE49-F238E27FC236}">
                  <a16:creationId xmlns:a16="http://schemas.microsoft.com/office/drawing/2014/main" id="{868372FB-824A-14A2-6777-0A45A5EFB16B}"/>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45" name="Picture 44">
            <a:extLst>
              <a:ext uri="{FF2B5EF4-FFF2-40B4-BE49-F238E27FC236}">
                <a16:creationId xmlns:a16="http://schemas.microsoft.com/office/drawing/2014/main" id="{B099E830-DF8C-0176-60A4-182EF3B97F3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28</xdr:col>
      <xdr:colOff>851539</xdr:colOff>
      <xdr:row>0</xdr:row>
      <xdr:rowOff>93854</xdr:rowOff>
    </xdr:from>
    <xdr:to>
      <xdr:col>31</xdr:col>
      <xdr:colOff>534761</xdr:colOff>
      <xdr:row>0</xdr:row>
      <xdr:rowOff>476598</xdr:rowOff>
    </xdr:to>
    <xdr:grpSp>
      <xdr:nvGrpSpPr>
        <xdr:cNvPr id="48" name="Group 47">
          <a:hlinkClick xmlns:r="http://schemas.openxmlformats.org/officeDocument/2006/relationships" r:id="rId9"/>
          <a:extLst>
            <a:ext uri="{FF2B5EF4-FFF2-40B4-BE49-F238E27FC236}">
              <a16:creationId xmlns:a16="http://schemas.microsoft.com/office/drawing/2014/main" id="{25BF3BAC-0DC7-44D8-851A-73BDA3AC63B5}"/>
            </a:ext>
          </a:extLst>
        </xdr:cNvPr>
        <xdr:cNvGrpSpPr/>
      </xdr:nvGrpSpPr>
      <xdr:grpSpPr>
        <a:xfrm>
          <a:off x="5667379" y="93854"/>
          <a:ext cx="2426422" cy="382744"/>
          <a:chOff x="9166864" y="127871"/>
          <a:chExt cx="2537099" cy="386554"/>
        </a:xfrm>
      </xdr:grpSpPr>
      <xdr:grpSp>
        <xdr:nvGrpSpPr>
          <xdr:cNvPr id="49" name="AddRowButton">
            <a:extLst>
              <a:ext uri="{FF2B5EF4-FFF2-40B4-BE49-F238E27FC236}">
                <a16:creationId xmlns:a16="http://schemas.microsoft.com/office/drawing/2014/main" id="{F94BE6D7-52CB-818F-E535-E24E2F8CF4D2}"/>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51" name="Rectangle: Rounded Corners 50">
              <a:hlinkClick xmlns:r="http://schemas.openxmlformats.org/officeDocument/2006/relationships" r:id="rId9"/>
              <a:extLst>
                <a:ext uri="{FF2B5EF4-FFF2-40B4-BE49-F238E27FC236}">
                  <a16:creationId xmlns:a16="http://schemas.microsoft.com/office/drawing/2014/main" id="{44D26AFF-206E-03D7-C879-556D5AAB5C6B}"/>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52" name="TextBox 51">
              <a:hlinkClick xmlns:r="http://schemas.openxmlformats.org/officeDocument/2006/relationships" r:id="rId9"/>
              <a:extLst>
                <a:ext uri="{FF2B5EF4-FFF2-40B4-BE49-F238E27FC236}">
                  <a16:creationId xmlns:a16="http://schemas.microsoft.com/office/drawing/2014/main" id="{6BB39421-3A57-D885-8DAB-9242FE4670D0}"/>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Planning</a:t>
              </a:r>
            </a:p>
          </xdr:txBody>
        </xdr:sp>
      </xdr:grpSp>
      <xdr:pic>
        <xdr:nvPicPr>
          <xdr:cNvPr id="50" name="Picture 49">
            <a:extLst>
              <a:ext uri="{FF2B5EF4-FFF2-40B4-BE49-F238E27FC236}">
                <a16:creationId xmlns:a16="http://schemas.microsoft.com/office/drawing/2014/main" id="{F6E92667-49E8-6335-6B82-BC74A459000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166687</xdr:colOff>
      <xdr:row>0</xdr:row>
      <xdr:rowOff>104775</xdr:rowOff>
    </xdr:from>
    <xdr:to>
      <xdr:col>17</xdr:col>
      <xdr:colOff>143823</xdr:colOff>
      <xdr:row>0</xdr:row>
      <xdr:rowOff>491329</xdr:rowOff>
    </xdr:to>
    <xdr:grpSp>
      <xdr:nvGrpSpPr>
        <xdr:cNvPr id="17" name="Group 16">
          <a:hlinkClick xmlns:r="http://schemas.openxmlformats.org/officeDocument/2006/relationships" r:id="rId1"/>
          <a:extLst>
            <a:ext uri="{FF2B5EF4-FFF2-40B4-BE49-F238E27FC236}">
              <a16:creationId xmlns:a16="http://schemas.microsoft.com/office/drawing/2014/main" id="{5ECB4962-4930-4EE0-B54F-1F980D5B3C37}"/>
            </a:ext>
          </a:extLst>
        </xdr:cNvPr>
        <xdr:cNvGrpSpPr/>
      </xdr:nvGrpSpPr>
      <xdr:grpSpPr>
        <a:xfrm>
          <a:off x="7948612" y="104775"/>
          <a:ext cx="2415536" cy="386554"/>
          <a:chOff x="9166864" y="127871"/>
          <a:chExt cx="2537099" cy="386554"/>
        </a:xfrm>
      </xdr:grpSpPr>
      <xdr:grpSp>
        <xdr:nvGrpSpPr>
          <xdr:cNvPr id="18" name="AddRowButton">
            <a:extLst>
              <a:ext uri="{FF2B5EF4-FFF2-40B4-BE49-F238E27FC236}">
                <a16:creationId xmlns:a16="http://schemas.microsoft.com/office/drawing/2014/main" id="{AFF13241-2691-AF87-E4E2-FBC40EAE969D}"/>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20" name="Rectangle: Rounded Corners 19">
              <a:hlinkClick xmlns:r="http://schemas.openxmlformats.org/officeDocument/2006/relationships" r:id="rId1"/>
              <a:extLst>
                <a:ext uri="{FF2B5EF4-FFF2-40B4-BE49-F238E27FC236}">
                  <a16:creationId xmlns:a16="http://schemas.microsoft.com/office/drawing/2014/main" id="{60D59735-FB4E-1C65-EC53-DA5D47FB8618}"/>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21" name="TextBox 20">
              <a:hlinkClick xmlns:r="http://schemas.openxmlformats.org/officeDocument/2006/relationships" r:id="rId1"/>
              <a:extLst>
                <a:ext uri="{FF2B5EF4-FFF2-40B4-BE49-F238E27FC236}">
                  <a16:creationId xmlns:a16="http://schemas.microsoft.com/office/drawing/2014/main" id="{9E6ABF3A-C1F9-130F-8B57-D607D7DCA73C}"/>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Tracking</a:t>
              </a:r>
            </a:p>
          </xdr:txBody>
        </xdr:sp>
      </xdr:grpSp>
      <xdr:pic>
        <xdr:nvPicPr>
          <xdr:cNvPr id="19" name="Picture 18">
            <a:extLst>
              <a:ext uri="{FF2B5EF4-FFF2-40B4-BE49-F238E27FC236}">
                <a16:creationId xmlns:a16="http://schemas.microsoft.com/office/drawing/2014/main" id="{61C80671-4B0B-E32E-7494-E17F8E146A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17</xdr:col>
      <xdr:colOff>333375</xdr:colOff>
      <xdr:row>0</xdr:row>
      <xdr:rowOff>104775</xdr:rowOff>
    </xdr:from>
    <xdr:to>
      <xdr:col>21</xdr:col>
      <xdr:colOff>310511</xdr:colOff>
      <xdr:row>0</xdr:row>
      <xdr:rowOff>491329</xdr:rowOff>
    </xdr:to>
    <xdr:grpSp>
      <xdr:nvGrpSpPr>
        <xdr:cNvPr id="22" name="Group 21">
          <a:hlinkClick xmlns:r="http://schemas.openxmlformats.org/officeDocument/2006/relationships" r:id="rId3"/>
          <a:extLst>
            <a:ext uri="{FF2B5EF4-FFF2-40B4-BE49-F238E27FC236}">
              <a16:creationId xmlns:a16="http://schemas.microsoft.com/office/drawing/2014/main" id="{D70DC55C-8F34-4E43-94F2-1105A6967551}"/>
            </a:ext>
          </a:extLst>
        </xdr:cNvPr>
        <xdr:cNvGrpSpPr/>
      </xdr:nvGrpSpPr>
      <xdr:grpSpPr>
        <a:xfrm>
          <a:off x="10553700" y="104775"/>
          <a:ext cx="2415536" cy="386554"/>
          <a:chOff x="9166864" y="127871"/>
          <a:chExt cx="2537099" cy="386554"/>
        </a:xfrm>
      </xdr:grpSpPr>
      <xdr:grpSp>
        <xdr:nvGrpSpPr>
          <xdr:cNvPr id="23" name="AddRowButton">
            <a:extLst>
              <a:ext uri="{FF2B5EF4-FFF2-40B4-BE49-F238E27FC236}">
                <a16:creationId xmlns:a16="http://schemas.microsoft.com/office/drawing/2014/main" id="{1B3B720D-E2CF-4510-8F8F-386710FCE5C9}"/>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25" name="Rectangle: Rounded Corners 24">
              <a:hlinkClick xmlns:r="http://schemas.openxmlformats.org/officeDocument/2006/relationships" r:id="rId3"/>
              <a:extLst>
                <a:ext uri="{FF2B5EF4-FFF2-40B4-BE49-F238E27FC236}">
                  <a16:creationId xmlns:a16="http://schemas.microsoft.com/office/drawing/2014/main" id="{AD0AB4D7-8958-AF8B-4201-E7835C0A4F90}"/>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26" name="TextBox 25">
              <a:extLst>
                <a:ext uri="{FF2B5EF4-FFF2-40B4-BE49-F238E27FC236}">
                  <a16:creationId xmlns:a16="http://schemas.microsoft.com/office/drawing/2014/main" id="{479DA8B1-8AED-5CB4-BA95-BA723373DCB8}"/>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24" name="Picture 23">
            <a:extLst>
              <a:ext uri="{FF2B5EF4-FFF2-40B4-BE49-F238E27FC236}">
                <a16:creationId xmlns:a16="http://schemas.microsoft.com/office/drawing/2014/main" id="{F3C68326-6312-ADD8-6C37-37E5424560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9</xdr:col>
      <xdr:colOff>0</xdr:colOff>
      <xdr:row>0</xdr:row>
      <xdr:rowOff>104775</xdr:rowOff>
    </xdr:from>
    <xdr:to>
      <xdr:col>12</xdr:col>
      <xdr:colOff>586736</xdr:colOff>
      <xdr:row>0</xdr:row>
      <xdr:rowOff>491329</xdr:rowOff>
    </xdr:to>
    <xdr:grpSp>
      <xdr:nvGrpSpPr>
        <xdr:cNvPr id="27" name="Group 26">
          <a:hlinkClick xmlns:r="http://schemas.openxmlformats.org/officeDocument/2006/relationships" r:id="rId4"/>
          <a:extLst>
            <a:ext uri="{FF2B5EF4-FFF2-40B4-BE49-F238E27FC236}">
              <a16:creationId xmlns:a16="http://schemas.microsoft.com/office/drawing/2014/main" id="{71B21212-1BAC-4B29-9020-57DB76304284}"/>
            </a:ext>
          </a:extLst>
        </xdr:cNvPr>
        <xdr:cNvGrpSpPr/>
      </xdr:nvGrpSpPr>
      <xdr:grpSpPr>
        <a:xfrm>
          <a:off x="5343525" y="104775"/>
          <a:ext cx="2415536" cy="386554"/>
          <a:chOff x="9166864" y="127871"/>
          <a:chExt cx="2537099" cy="386554"/>
        </a:xfrm>
      </xdr:grpSpPr>
      <xdr:grpSp>
        <xdr:nvGrpSpPr>
          <xdr:cNvPr id="28" name="AddRowButton">
            <a:extLst>
              <a:ext uri="{FF2B5EF4-FFF2-40B4-BE49-F238E27FC236}">
                <a16:creationId xmlns:a16="http://schemas.microsoft.com/office/drawing/2014/main" id="{3D62F695-E9C3-52A4-BCB4-7596066BDB0A}"/>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30" name="Rectangle: Rounded Corners 29">
              <a:hlinkClick xmlns:r="http://schemas.openxmlformats.org/officeDocument/2006/relationships" r:id="rId4"/>
              <a:extLst>
                <a:ext uri="{FF2B5EF4-FFF2-40B4-BE49-F238E27FC236}">
                  <a16:creationId xmlns:a16="http://schemas.microsoft.com/office/drawing/2014/main" id="{4B0A4989-59DF-6B16-BD9F-A28A14C1CF8C}"/>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31" name="TextBox 30">
              <a:hlinkClick xmlns:r="http://schemas.openxmlformats.org/officeDocument/2006/relationships" r:id="rId4"/>
              <a:extLst>
                <a:ext uri="{FF2B5EF4-FFF2-40B4-BE49-F238E27FC236}">
                  <a16:creationId xmlns:a16="http://schemas.microsoft.com/office/drawing/2014/main" id="{D978F448-1D2B-2275-1BD4-E738C3B314D7}"/>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Planning</a:t>
              </a:r>
            </a:p>
          </xdr:txBody>
        </xdr:sp>
      </xdr:grpSp>
      <xdr:pic>
        <xdr:nvPicPr>
          <xdr:cNvPr id="29" name="Picture 28">
            <a:extLst>
              <a:ext uri="{FF2B5EF4-FFF2-40B4-BE49-F238E27FC236}">
                <a16:creationId xmlns:a16="http://schemas.microsoft.com/office/drawing/2014/main" id="{E0A4E9B3-9AE9-236C-2041-7D6424F8A55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2567626</xdr:colOff>
      <xdr:row>0</xdr:row>
      <xdr:rowOff>96122</xdr:rowOff>
    </xdr:from>
    <xdr:to>
      <xdr:col>6</xdr:col>
      <xdr:colOff>1799695</xdr:colOff>
      <xdr:row>0</xdr:row>
      <xdr:rowOff>482676</xdr:rowOff>
    </xdr:to>
    <xdr:grpSp>
      <xdr:nvGrpSpPr>
        <xdr:cNvPr id="27" name="Group 26">
          <a:hlinkClick xmlns:r="http://schemas.openxmlformats.org/officeDocument/2006/relationships" r:id="rId1"/>
          <a:extLst>
            <a:ext uri="{FF2B5EF4-FFF2-40B4-BE49-F238E27FC236}">
              <a16:creationId xmlns:a16="http://schemas.microsoft.com/office/drawing/2014/main" id="{FCC87046-C9A4-4CE7-A53E-309710235101}"/>
            </a:ext>
          </a:extLst>
        </xdr:cNvPr>
        <xdr:cNvGrpSpPr/>
      </xdr:nvGrpSpPr>
      <xdr:grpSpPr>
        <a:xfrm>
          <a:off x="8473126" y="96122"/>
          <a:ext cx="2413419" cy="386554"/>
          <a:chOff x="9166864" y="127871"/>
          <a:chExt cx="2537099" cy="386554"/>
        </a:xfrm>
      </xdr:grpSpPr>
      <xdr:grpSp>
        <xdr:nvGrpSpPr>
          <xdr:cNvPr id="28" name="AddRowButton">
            <a:extLst>
              <a:ext uri="{FF2B5EF4-FFF2-40B4-BE49-F238E27FC236}">
                <a16:creationId xmlns:a16="http://schemas.microsoft.com/office/drawing/2014/main" id="{6023EA69-F00A-4BB2-84F8-4A971B6C3AC4}"/>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30" name="Rectangle: Rounded Corners 29">
              <a:hlinkClick xmlns:r="http://schemas.openxmlformats.org/officeDocument/2006/relationships" r:id="rId1"/>
              <a:extLst>
                <a:ext uri="{FF2B5EF4-FFF2-40B4-BE49-F238E27FC236}">
                  <a16:creationId xmlns:a16="http://schemas.microsoft.com/office/drawing/2014/main" id="{EB8472A1-0C11-997F-9A7C-942AEF38DDD0}"/>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31" name="TextBox 30">
              <a:hlinkClick xmlns:r="http://schemas.openxmlformats.org/officeDocument/2006/relationships" r:id="rId1"/>
              <a:extLst>
                <a:ext uri="{FF2B5EF4-FFF2-40B4-BE49-F238E27FC236}">
                  <a16:creationId xmlns:a16="http://schemas.microsoft.com/office/drawing/2014/main" id="{3F9A1A46-EFFF-F5ED-0840-297500C8A301}"/>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Tracking</a:t>
              </a:r>
            </a:p>
          </xdr:txBody>
        </xdr:sp>
      </xdr:grpSp>
      <xdr:pic>
        <xdr:nvPicPr>
          <xdr:cNvPr id="29" name="Picture 28">
            <a:extLst>
              <a:ext uri="{FF2B5EF4-FFF2-40B4-BE49-F238E27FC236}">
                <a16:creationId xmlns:a16="http://schemas.microsoft.com/office/drawing/2014/main" id="{A6682595-8196-DF46-C696-9F037A34446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6</xdr:col>
      <xdr:colOff>1989247</xdr:colOff>
      <xdr:row>0</xdr:row>
      <xdr:rowOff>96122</xdr:rowOff>
    </xdr:from>
    <xdr:to>
      <xdr:col>7</xdr:col>
      <xdr:colOff>1466850</xdr:colOff>
      <xdr:row>0</xdr:row>
      <xdr:rowOff>482676</xdr:rowOff>
    </xdr:to>
    <xdr:grpSp>
      <xdr:nvGrpSpPr>
        <xdr:cNvPr id="32" name="Group 31">
          <a:hlinkClick xmlns:r="http://schemas.openxmlformats.org/officeDocument/2006/relationships" r:id="rId3"/>
          <a:extLst>
            <a:ext uri="{FF2B5EF4-FFF2-40B4-BE49-F238E27FC236}">
              <a16:creationId xmlns:a16="http://schemas.microsoft.com/office/drawing/2014/main" id="{A4E662C9-8EAD-4E02-9688-E556381B360D}"/>
            </a:ext>
          </a:extLst>
        </xdr:cNvPr>
        <xdr:cNvGrpSpPr/>
      </xdr:nvGrpSpPr>
      <xdr:grpSpPr>
        <a:xfrm>
          <a:off x="11076097" y="96122"/>
          <a:ext cx="2420828" cy="386554"/>
          <a:chOff x="9166864" y="127871"/>
          <a:chExt cx="2537099" cy="386554"/>
        </a:xfrm>
      </xdr:grpSpPr>
      <xdr:grpSp>
        <xdr:nvGrpSpPr>
          <xdr:cNvPr id="33" name="AddRowButton">
            <a:extLst>
              <a:ext uri="{FF2B5EF4-FFF2-40B4-BE49-F238E27FC236}">
                <a16:creationId xmlns:a16="http://schemas.microsoft.com/office/drawing/2014/main" id="{55985A30-4CC3-55E5-FA16-6F6E950C60AD}"/>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35" name="Rectangle: Rounded Corners 34">
              <a:hlinkClick xmlns:r="http://schemas.openxmlformats.org/officeDocument/2006/relationships" r:id="rId3"/>
              <a:extLst>
                <a:ext uri="{FF2B5EF4-FFF2-40B4-BE49-F238E27FC236}">
                  <a16:creationId xmlns:a16="http://schemas.microsoft.com/office/drawing/2014/main" id="{9225C7F2-B0ED-5A37-81DB-D1AA88B8137B}"/>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36" name="TextBox 35">
              <a:extLst>
                <a:ext uri="{FF2B5EF4-FFF2-40B4-BE49-F238E27FC236}">
                  <a16:creationId xmlns:a16="http://schemas.microsoft.com/office/drawing/2014/main" id="{1C90F236-578B-28AC-D078-22F328575F8B}"/>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Dashboard</a:t>
              </a:r>
            </a:p>
          </xdr:txBody>
        </xdr:sp>
      </xdr:grpSp>
      <xdr:pic>
        <xdr:nvPicPr>
          <xdr:cNvPr id="34" name="Picture 33">
            <a:extLst>
              <a:ext uri="{FF2B5EF4-FFF2-40B4-BE49-F238E27FC236}">
                <a16:creationId xmlns:a16="http://schemas.microsoft.com/office/drawing/2014/main" id="{6B56871A-EA7E-D1C0-7FD4-5878CC11686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twoCellAnchor editAs="oneCell">
    <xdr:from>
      <xdr:col>4</xdr:col>
      <xdr:colOff>1071672</xdr:colOff>
      <xdr:row>0</xdr:row>
      <xdr:rowOff>96122</xdr:rowOff>
    </xdr:from>
    <xdr:to>
      <xdr:col>5</xdr:col>
      <xdr:colOff>2378075</xdr:colOff>
      <xdr:row>0</xdr:row>
      <xdr:rowOff>482676</xdr:rowOff>
    </xdr:to>
    <xdr:grpSp>
      <xdr:nvGrpSpPr>
        <xdr:cNvPr id="37" name="Group 36">
          <a:hlinkClick xmlns:r="http://schemas.openxmlformats.org/officeDocument/2006/relationships" r:id="rId4"/>
          <a:extLst>
            <a:ext uri="{FF2B5EF4-FFF2-40B4-BE49-F238E27FC236}">
              <a16:creationId xmlns:a16="http://schemas.microsoft.com/office/drawing/2014/main" id="{CCBA8CE2-8551-4C74-B33F-DF450A1CCE31}"/>
            </a:ext>
          </a:extLst>
        </xdr:cNvPr>
        <xdr:cNvGrpSpPr/>
      </xdr:nvGrpSpPr>
      <xdr:grpSpPr>
        <a:xfrm>
          <a:off x="5872272" y="96122"/>
          <a:ext cx="2411303" cy="386554"/>
          <a:chOff x="9166864" y="127871"/>
          <a:chExt cx="2537099" cy="386554"/>
        </a:xfrm>
      </xdr:grpSpPr>
      <xdr:grpSp>
        <xdr:nvGrpSpPr>
          <xdr:cNvPr id="38" name="AddRowButton">
            <a:extLst>
              <a:ext uri="{FF2B5EF4-FFF2-40B4-BE49-F238E27FC236}">
                <a16:creationId xmlns:a16="http://schemas.microsoft.com/office/drawing/2014/main" id="{3BB3AA1E-C32B-1BDA-44AF-B8837DE117B0}"/>
              </a:ext>
            </a:extLst>
          </xdr:cNvPr>
          <xdr:cNvGrpSpPr/>
        </xdr:nvGrpSpPr>
        <xdr:grpSpPr>
          <a:xfrm>
            <a:off x="9166864" y="127871"/>
            <a:ext cx="2537099" cy="386554"/>
            <a:chOff x="11537151" y="3284325"/>
            <a:chExt cx="2160000" cy="337965"/>
          </a:xfrm>
          <a:solidFill>
            <a:schemeClr val="accent5">
              <a:lumMod val="75000"/>
            </a:schemeClr>
          </a:solidFill>
        </xdr:grpSpPr>
        <xdr:sp macro="[0]!Module2.AddEntryToTable" textlink="">
          <xdr:nvSpPr>
            <xdr:cNvPr id="40" name="Rectangle: Rounded Corners 39">
              <a:hlinkClick xmlns:r="http://schemas.openxmlformats.org/officeDocument/2006/relationships" r:id="rId4"/>
              <a:extLst>
                <a:ext uri="{FF2B5EF4-FFF2-40B4-BE49-F238E27FC236}">
                  <a16:creationId xmlns:a16="http://schemas.microsoft.com/office/drawing/2014/main" id="{A2BE1B88-6E02-E52E-4AB6-6BDB64CF49C6}"/>
                </a:ext>
              </a:extLst>
            </xdr:cNvPr>
            <xdr:cNvSpPr/>
          </xdr:nvSpPr>
          <xdr:spPr>
            <a:xfrm>
              <a:off x="11537151" y="3284328"/>
              <a:ext cx="2160000" cy="337962"/>
            </a:xfrm>
            <a:prstGeom prst="roundRect">
              <a:avLst>
                <a:gd name="adj" fmla="val 10575"/>
              </a:avLst>
            </a:prstGeom>
            <a:solidFill>
              <a:srgbClr val="EAD1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endParaRPr lang="en-GB" sz="1200" b="1">
                <a:solidFill>
                  <a:schemeClr val="lt1"/>
                </a:solidFill>
                <a:latin typeface="Arial Nova Light" panose="020B0304020202020204" pitchFamily="34" charset="0"/>
                <a:ea typeface="+mn-ea"/>
                <a:cs typeface="+mn-cs"/>
              </a:endParaRPr>
            </a:p>
          </xdr:txBody>
        </xdr:sp>
        <xdr:sp macro="[0]!Module2.AddEntryToTable" textlink="">
          <xdr:nvSpPr>
            <xdr:cNvPr id="41" name="TextBox 40">
              <a:hlinkClick xmlns:r="http://schemas.openxmlformats.org/officeDocument/2006/relationships" r:id="rId4"/>
              <a:extLst>
                <a:ext uri="{FF2B5EF4-FFF2-40B4-BE49-F238E27FC236}">
                  <a16:creationId xmlns:a16="http://schemas.microsoft.com/office/drawing/2014/main" id="{784FFB11-1F05-F833-7C73-EF43CF98ACA8}"/>
                </a:ext>
              </a:extLst>
            </xdr:cNvPr>
            <xdr:cNvSpPr txBox="1"/>
          </xdr:nvSpPr>
          <xdr:spPr>
            <a:xfrm>
              <a:off x="12118437" y="3284325"/>
              <a:ext cx="1500859" cy="337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300" b="1">
                  <a:solidFill>
                    <a:schemeClr val="accent5">
                      <a:lumMod val="75000"/>
                    </a:schemeClr>
                  </a:solidFill>
                  <a:latin typeface="Arial Nova Light" panose="020B0304020202020204" pitchFamily="34" charset="0"/>
                </a:rPr>
                <a:t>Budget Planning</a:t>
              </a:r>
            </a:p>
          </xdr:txBody>
        </xdr:sp>
      </xdr:grpSp>
      <xdr:pic>
        <xdr:nvPicPr>
          <xdr:cNvPr id="39" name="Picture 38">
            <a:extLst>
              <a:ext uri="{FF2B5EF4-FFF2-40B4-BE49-F238E27FC236}">
                <a16:creationId xmlns:a16="http://schemas.microsoft.com/office/drawing/2014/main" id="{FA4C8AD7-2E60-5BDF-7359-AE421660446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2547" y="177147"/>
            <a:ext cx="286557" cy="2880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557.120823263889" createdVersion="8" refreshedVersion="8" minRefreshableVersion="3" recordCount="30" xr:uid="{85F37BA1-7098-4AB1-A53A-954A008DCFA0}">
  <cacheSource type="worksheet">
    <worksheetSource name="TrackingTable"/>
  </cacheSource>
  <cacheFields count="7">
    <cacheField name="Date" numFmtId="15">
      <sharedItems containsSemiMixedTypes="0" containsNonDate="0" containsDate="1" containsString="0" minDate="2024-09-09T00:00:00" maxDate="2024-09-23T00:00:00" count="8">
        <d v="2024-09-09T00:00:00"/>
        <d v="2024-09-12T00:00:00"/>
        <d v="2024-09-13T00:00:00"/>
        <d v="2024-09-14T00:00:00"/>
        <d v="2024-09-16T00:00:00"/>
        <d v="2024-09-17T00:00:00"/>
        <d v="2024-09-18T00:00:00"/>
        <d v="2024-09-22T00:00:00"/>
      </sharedItems>
    </cacheField>
    <cacheField name="Type" numFmtId="0">
      <sharedItems count="2">
        <s v="Expenditure"/>
        <s v="Income"/>
      </sharedItems>
    </cacheField>
    <cacheField name="Category" numFmtId="0">
      <sharedItems count="10">
        <s v="Groceries"/>
        <s v="Salon"/>
        <s v="Snacks"/>
        <s v="Airtime"/>
        <s v="Utilities"/>
        <s v="Gigs"/>
        <s v="Rent"/>
        <s v="Debt payment"/>
        <s v="Cooking Fuel"/>
        <s v="Clothes"/>
      </sharedItems>
    </cacheField>
    <cacheField name="Amount" numFmtId="166">
      <sharedItems containsString="0" containsBlank="1" containsNumber="1" containsInteger="1" minValue="5" maxValue="5000"/>
    </cacheField>
    <cacheField name="Details" numFmtId="0">
      <sharedItems containsBlank="1"/>
    </cacheField>
    <cacheField name="Balance" numFmtId="166">
      <sharedItems containsSemiMixedTypes="0" containsString="0" containsNumber="1" containsInteger="1" minValue="-220" maxValue="1261"/>
    </cacheField>
    <cacheField name="Effective Date" numFmtId="169">
      <sharedItems containsSemiMixedTypes="0" containsNonDate="0" containsDate="1" containsString="0" minDate="2024-09-09T00:00:00" maxDate="2024-09-23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130"/>
    <m/>
    <n v="-55"/>
    <d v="2024-09-09T00:00:00"/>
  </r>
  <r>
    <x v="0"/>
    <x v="1"/>
    <x v="1"/>
    <n v="100"/>
    <s v="Salon"/>
    <n v="-55"/>
    <d v="2024-09-09T00:00:00"/>
  </r>
  <r>
    <x v="0"/>
    <x v="0"/>
    <x v="2"/>
    <n v="20"/>
    <m/>
    <n v="-55"/>
    <d v="2024-09-09T00:00:00"/>
  </r>
  <r>
    <x v="0"/>
    <x v="0"/>
    <x v="3"/>
    <n v="5"/>
    <m/>
    <n v="-55"/>
    <d v="2024-09-09T00:00:00"/>
  </r>
  <r>
    <x v="1"/>
    <x v="0"/>
    <x v="0"/>
    <n v="25"/>
    <m/>
    <n v="-220"/>
    <d v="2024-09-12T00:00:00"/>
  </r>
  <r>
    <x v="1"/>
    <x v="0"/>
    <x v="4"/>
    <n v="140"/>
    <m/>
    <n v="-220"/>
    <d v="2024-09-12T00:00:00"/>
  </r>
  <r>
    <x v="2"/>
    <x v="1"/>
    <x v="1"/>
    <n v="500"/>
    <m/>
    <n v="280"/>
    <d v="2024-09-13T00:00:00"/>
  </r>
  <r>
    <x v="3"/>
    <x v="1"/>
    <x v="5"/>
    <n v="5000"/>
    <s v="jippy"/>
    <n v="1261"/>
    <d v="2024-09-14T00:00:00"/>
  </r>
  <r>
    <x v="3"/>
    <x v="0"/>
    <x v="6"/>
    <n v="3000"/>
    <m/>
    <n v="1261"/>
    <d v="2024-09-14T00:00:00"/>
  </r>
  <r>
    <x v="3"/>
    <x v="0"/>
    <x v="7"/>
    <n v="1154"/>
    <m/>
    <n v="1261"/>
    <d v="2024-09-14T00:00:00"/>
  </r>
  <r>
    <x v="3"/>
    <x v="0"/>
    <x v="2"/>
    <n v="105"/>
    <m/>
    <n v="1261"/>
    <d v="2024-09-14T00:00:00"/>
  </r>
  <r>
    <x v="3"/>
    <x v="0"/>
    <x v="0"/>
    <n v="60"/>
    <m/>
    <n v="1261"/>
    <d v="2024-09-14T00:00:00"/>
  </r>
  <r>
    <x v="3"/>
    <x v="1"/>
    <x v="1"/>
    <n v="300"/>
    <m/>
    <n v="1261"/>
    <d v="2024-09-14T00:00:00"/>
  </r>
  <r>
    <x v="4"/>
    <x v="0"/>
    <x v="2"/>
    <n v="70"/>
    <s v="bread"/>
    <n v="1191"/>
    <d v="2024-09-16T00:00:00"/>
  </r>
  <r>
    <x v="4"/>
    <x v="0"/>
    <x v="3"/>
    <n v="5"/>
    <m/>
    <n v="1191"/>
    <d v="2024-09-16T00:00:00"/>
  </r>
  <r>
    <x v="4"/>
    <x v="1"/>
    <x v="1"/>
    <n v="300"/>
    <m/>
    <n v="1191"/>
    <d v="2024-09-16T00:00:00"/>
  </r>
  <r>
    <x v="4"/>
    <x v="0"/>
    <x v="4"/>
    <n v="175"/>
    <m/>
    <n v="1191"/>
    <d v="2024-09-16T00:00:00"/>
  </r>
  <r>
    <x v="4"/>
    <x v="0"/>
    <x v="0"/>
    <n v="80"/>
    <m/>
    <n v="1191"/>
    <d v="2024-09-16T00:00:00"/>
  </r>
  <r>
    <x v="4"/>
    <x v="0"/>
    <x v="2"/>
    <n v="40"/>
    <m/>
    <n v="1191"/>
    <d v="2024-09-16T00:00:00"/>
  </r>
  <r>
    <x v="5"/>
    <x v="0"/>
    <x v="8"/>
    <n v="1100"/>
    <m/>
    <n v="21"/>
    <d v="2024-09-17T00:00:00"/>
  </r>
  <r>
    <x v="5"/>
    <x v="1"/>
    <x v="1"/>
    <n v="250"/>
    <m/>
    <n v="21"/>
    <d v="2024-09-17T00:00:00"/>
  </r>
  <r>
    <x v="5"/>
    <x v="0"/>
    <x v="2"/>
    <n v="40"/>
    <m/>
    <n v="21"/>
    <d v="2024-09-17T00:00:00"/>
  </r>
  <r>
    <x v="5"/>
    <x v="0"/>
    <x v="0"/>
    <n v="30"/>
    <m/>
    <n v="21"/>
    <d v="2024-09-17T00:00:00"/>
  </r>
  <r>
    <x v="5"/>
    <x v="0"/>
    <x v="9"/>
    <n v="250"/>
    <m/>
    <n v="21"/>
    <d v="2024-09-17T00:00:00"/>
  </r>
  <r>
    <x v="6"/>
    <x v="1"/>
    <x v="1"/>
    <n v="200"/>
    <m/>
    <n v="-169"/>
    <d v="2024-09-18T00:00:00"/>
  </r>
  <r>
    <x v="6"/>
    <x v="0"/>
    <x v="2"/>
    <n v="70"/>
    <m/>
    <n v="-169"/>
    <d v="2024-09-18T00:00:00"/>
  </r>
  <r>
    <x v="6"/>
    <x v="0"/>
    <x v="0"/>
    <n v="110"/>
    <m/>
    <n v="-169"/>
    <d v="2024-09-18T00:00:00"/>
  </r>
  <r>
    <x v="6"/>
    <x v="0"/>
    <x v="8"/>
    <n v="50"/>
    <m/>
    <n v="-169"/>
    <d v="2024-09-18T00:00:00"/>
  </r>
  <r>
    <x v="6"/>
    <x v="0"/>
    <x v="4"/>
    <n v="160"/>
    <m/>
    <n v="-169"/>
    <d v="2024-09-18T00:00:00"/>
  </r>
  <r>
    <x v="7"/>
    <x v="1"/>
    <x v="1"/>
    <m/>
    <m/>
    <n v="-169"/>
    <d v="2024-09-2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77EACA-8C98-4E83-82D9-D1AE3FD858A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E15" firstHeaderRow="1" firstDataRow="2" firstDataCol="1"/>
  <pivotFields count="7">
    <pivotField axis="axisRow" numFmtId="15" showAll="0">
      <items count="9">
        <item x="0"/>
        <item x="1"/>
        <item x="2"/>
        <item x="3"/>
        <item x="4"/>
        <item x="5"/>
        <item x="6"/>
        <item x="7"/>
        <item t="default"/>
      </items>
    </pivotField>
    <pivotField axis="axisCol" showAll="0">
      <items count="3">
        <item x="0"/>
        <item x="1"/>
        <item t="default"/>
      </items>
    </pivotField>
    <pivotField showAll="0"/>
    <pivotField dataField="1" numFmtId="166" showAll="0"/>
    <pivotField showAll="0"/>
    <pivotField numFmtId="166" showAll="0"/>
    <pivotField numFmtId="169" showAll="0"/>
  </pivotFields>
  <rowFields count="1">
    <field x="0"/>
  </rowFields>
  <rowItems count="9">
    <i>
      <x/>
    </i>
    <i>
      <x v="1"/>
    </i>
    <i>
      <x v="2"/>
    </i>
    <i>
      <x v="3"/>
    </i>
    <i>
      <x v="4"/>
    </i>
    <i>
      <x v="5"/>
    </i>
    <i>
      <x v="6"/>
    </i>
    <i>
      <x v="7"/>
    </i>
    <i t="grand">
      <x/>
    </i>
  </rowItems>
  <colFields count="1">
    <field x="1"/>
  </colFields>
  <colItems count="3">
    <i>
      <x/>
    </i>
    <i>
      <x v="1"/>
    </i>
    <i t="grand">
      <x/>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F0BA8C-0DCA-498E-AEE8-10AC3AAEFD7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J45" firstHeaderRow="1" firstDataRow="1" firstDataCol="1"/>
  <pivotFields count="7">
    <pivotField axis="axisRow" numFmtId="15" showAll="0">
      <items count="9">
        <item x="0"/>
        <item x="1"/>
        <item x="2"/>
        <item x="3"/>
        <item x="4"/>
        <item x="5"/>
        <item x="6"/>
        <item x="7"/>
        <item t="default"/>
      </items>
    </pivotField>
    <pivotField showAll="0"/>
    <pivotField axis="axisRow" showAll="0">
      <items count="11">
        <item x="3"/>
        <item x="9"/>
        <item x="8"/>
        <item x="7"/>
        <item x="5"/>
        <item x="0"/>
        <item x="6"/>
        <item x="1"/>
        <item x="2"/>
        <item x="4"/>
        <item t="default"/>
      </items>
    </pivotField>
    <pivotField dataField="1" numFmtId="166" showAll="0"/>
    <pivotField showAll="0"/>
    <pivotField numFmtId="166" showAll="0"/>
    <pivotField numFmtId="169" showAll="0"/>
  </pivotFields>
  <rowFields count="2">
    <field x="2"/>
    <field x="0"/>
  </rowFields>
  <rowItems count="40">
    <i>
      <x/>
    </i>
    <i r="1">
      <x/>
    </i>
    <i r="1">
      <x v="4"/>
    </i>
    <i>
      <x v="1"/>
    </i>
    <i r="1">
      <x v="5"/>
    </i>
    <i>
      <x v="2"/>
    </i>
    <i r="1">
      <x v="5"/>
    </i>
    <i r="1">
      <x v="6"/>
    </i>
    <i>
      <x v="3"/>
    </i>
    <i r="1">
      <x v="3"/>
    </i>
    <i>
      <x v="4"/>
    </i>
    <i r="1">
      <x v="3"/>
    </i>
    <i>
      <x v="5"/>
    </i>
    <i r="1">
      <x/>
    </i>
    <i r="1">
      <x v="1"/>
    </i>
    <i r="1">
      <x v="3"/>
    </i>
    <i r="1">
      <x v="4"/>
    </i>
    <i r="1">
      <x v="5"/>
    </i>
    <i r="1">
      <x v="6"/>
    </i>
    <i>
      <x v="6"/>
    </i>
    <i r="1">
      <x v="3"/>
    </i>
    <i>
      <x v="7"/>
    </i>
    <i r="1">
      <x/>
    </i>
    <i r="1">
      <x v="2"/>
    </i>
    <i r="1">
      <x v="3"/>
    </i>
    <i r="1">
      <x v="4"/>
    </i>
    <i r="1">
      <x v="5"/>
    </i>
    <i r="1">
      <x v="6"/>
    </i>
    <i r="1">
      <x v="7"/>
    </i>
    <i>
      <x v="8"/>
    </i>
    <i r="1">
      <x/>
    </i>
    <i r="1">
      <x v="3"/>
    </i>
    <i r="1">
      <x v="4"/>
    </i>
    <i r="1">
      <x v="5"/>
    </i>
    <i r="1">
      <x v="6"/>
    </i>
    <i>
      <x v="9"/>
    </i>
    <i r="1">
      <x v="1"/>
    </i>
    <i r="1">
      <x v="4"/>
    </i>
    <i r="1">
      <x v="6"/>
    </i>
    <i t="grand">
      <x/>
    </i>
  </rowItems>
  <colItems count="1">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
  <rv s="0">
    <v>0</v>
    <v>5</v>
  </rv>
  <rv s="1">
    <v>1</v>
    <v>5</v>
    <v>Information with solid fill</v>
  </rv>
  <rv s="0">
    <v>2</v>
    <v>5</v>
  </rv>
  <rv s="0">
    <v>3</v>
    <v>5</v>
  </rv>
  <rv s="1">
    <v>4</v>
    <v>5</v>
    <v>Money with solid fill</v>
  </rv>
  <rv s="0">
    <v>5</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00E8BB-3496-4720-9F7D-6B85C1438C1C}" name="Income" displayName="Income" ref="B7:B15" totalsRowShown="0" headerRowDxfId="53" dataDxfId="52" dataCellStyle="Comma">
  <autoFilter ref="B7:B15" xr:uid="{5900E8BB-3496-4720-9F7D-6B85C1438C1C}">
    <filterColumn colId="0" hiddenButton="1"/>
  </autoFilter>
  <tableColumns count="1">
    <tableColumn id="1" xr3:uid="{036239CB-994D-41DE-9BBF-0C459BC5F538}" name="Income" dataDxfId="51" dataCellStyle="Comma"/>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998136-CA77-429D-A1C0-A0C2B2147920}" name="Expenditure" displayName="Expenditure" ref="B23:B36" totalsRowShown="0" headerRowDxfId="50" dataDxfId="49" headerRowCellStyle="Comma" dataCellStyle="Comma">
  <autoFilter ref="B23:B36" xr:uid="{27998136-CA77-429D-A1C0-A0C2B2147920}">
    <filterColumn colId="0" hiddenButton="1"/>
  </autoFilter>
  <tableColumns count="1">
    <tableColumn id="1" xr3:uid="{889E6692-01E4-4A77-ABA1-A981509BCEB9}" name="Expenditure" dataDxfId="48" dataCellStyle="Comma"/>
  </tableColumns>
  <tableStyleInfo name="Expenditure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A12DE6-DB28-488A-8905-3CF50C40C761}" name="Savings" displayName="Savings" ref="B43:B56" totalsRowShown="0" headerRowDxfId="47" dataDxfId="46" headerRowCellStyle="Comma" dataCellStyle="Comma">
  <autoFilter ref="B43:B56" xr:uid="{03A12DE6-DB28-488A-8905-3CF50C40C761}">
    <filterColumn colId="0" hiddenButton="1"/>
  </autoFilter>
  <tableColumns count="1">
    <tableColumn id="1" xr3:uid="{FF57C7CB-FB7D-470F-AAB5-33156009C362}" name="Savings" dataDxfId="45" dataCellStyle="Comma"/>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785291A-0166-4EB6-B322-88874BD6F69C}" name="TrackingTable" displayName="TrackingTable" ref="B3:H48" totalsRowShown="0" headerRowDxfId="37" dataDxfId="36">
  <autoFilter ref="B3:H48" xr:uid="{0785291A-0166-4EB6-B322-88874BD6F69C}"/>
  <sortState xmlns:xlrd2="http://schemas.microsoft.com/office/spreadsheetml/2017/richdata2" ref="B4:H48">
    <sortCondition ref="B3:B48"/>
  </sortState>
  <tableColumns count="7">
    <tableColumn id="1" xr3:uid="{CBA96F5B-E9F2-4800-AEF2-9D0B25BF8BCE}" name="Date" dataDxfId="35"/>
    <tableColumn id="2" xr3:uid="{C916FFF9-49B7-4FED-B212-AA9FD8742027}" name="Type" dataDxfId="34"/>
    <tableColumn id="3" xr3:uid="{A6BF2986-04B2-40C8-BB80-38414341275C}" name="Category" dataDxfId="33"/>
    <tableColumn id="4" xr3:uid="{C9F48F65-6F51-4177-BC27-BA175F62ECBB}" name="Amount" dataDxfId="32" dataCellStyle="Comma"/>
    <tableColumn id="5" xr3:uid="{335C3143-0DEA-4570-A4D0-52AC18122DFB}" name="Details" dataDxfId="31"/>
    <tableColumn id="6" xr3:uid="{0D9208BF-DD59-4448-B08B-5E5C737046F6}" name="Balance" dataDxfId="30" dataCellStyle="Comma">
      <calculatedColumnFormula array="1">SUMPRODUCT(TrackingTable[Amount], --(TrackingTable[Date]&lt;=TrackingTable[[#This Row],[Date]]), ((TrackingTable[Type]&lt;&gt;"Income") * (-1)) + (TrackingTable[Type]="Income"))</calculatedColumnFormula>
    </tableColumn>
    <tableColumn id="7" xr3:uid="{AC7E67CD-D9A5-4E46-96CF-850A65C9D92D}" name="Effective Date" dataDxfId="29">
      <calculatedColumnFormula>IF(AND(TrackingTable[[#This Row],[Type]]="Income", shift_late_income_status="Active", DAY(TrackingTable[[#This Row],[Date]])&gt;=shift_late_income_starting_date),
    DATE(YEAR(TrackingTable[[#This Row],[Date]]), MONTH(TrackingTable[[#This Row],[Date]])+1, 1),
    TrackingTable[[#This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48AAD7B-02EF-4571-B589-8EC5F31D18BB}">
  <we:reference id="WA104006972" version="1.0.0.0" store="en-US" storeType="omex"/>
  <we:alternateReferences>
    <we:reference id="WA104006972" version="1.0.0.0" store="omex"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youtube.com/watch?si=4sUf57oyq_6YSOCl&amp;v=TLVjsabOLT0&amp;feature=youtu.be" TargetMode="External"/><Relationship Id="rId1" Type="http://schemas.openxmlformats.org/officeDocument/2006/relationships/hyperlink" Target="https://youtu.be/TLVjsabOLT0?si=4sUf57oyq_6YSOCl" TargetMode="External"/><Relationship Id="rId5" Type="http://schemas.openxmlformats.org/officeDocument/2006/relationships/table" Target="../tables/table4.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6BCAF-8019-45E5-9BDD-D17F7F71C97E}">
  <sheetPr codeName="Sheet1">
    <tabColor theme="8" tint="-0.249977111117893"/>
  </sheetPr>
  <dimension ref="B1:K22"/>
  <sheetViews>
    <sheetView showGridLines="0" zoomScale="80" zoomScaleNormal="80" workbookViewId="0">
      <selection activeCell="D12" sqref="D12"/>
    </sheetView>
  </sheetViews>
  <sheetFormatPr defaultColWidth="9.109375" defaultRowHeight="18" customHeight="1" x14ac:dyDescent="0.3"/>
  <cols>
    <col min="1" max="1" width="2.88671875" style="1" customWidth="1"/>
    <col min="2" max="2" width="2.21875" style="1" customWidth="1"/>
    <col min="3" max="3" width="43.88671875" style="1" customWidth="1"/>
    <col min="4" max="4" width="36.88671875" style="1" customWidth="1"/>
    <col min="5" max="5" width="3" style="1" customWidth="1"/>
    <col min="6" max="6" width="13.44140625" style="1" customWidth="1"/>
    <col min="7" max="7" width="20.6640625" style="1" customWidth="1"/>
    <col min="8" max="8" width="3" style="1" customWidth="1"/>
    <col min="9" max="9" width="17.44140625" style="1" customWidth="1"/>
    <col min="10" max="10" width="34.6640625" style="1" customWidth="1"/>
    <col min="11" max="11" width="3.6640625" style="1" customWidth="1"/>
    <col min="12" max="12" width="7.109375" style="1" customWidth="1"/>
    <col min="13" max="16384" width="9.109375" style="1"/>
  </cols>
  <sheetData>
    <row r="1" spans="2:11" s="2" customFormat="1" ht="47.4" customHeight="1" x14ac:dyDescent="0.3">
      <c r="B1" s="2" t="s">
        <v>0</v>
      </c>
    </row>
    <row r="3" spans="2:11" ht="18" customHeight="1" thickBot="1" x14ac:dyDescent="0.35"/>
    <row r="4" spans="2:11" ht="34.200000000000003" customHeight="1" thickTop="1" x14ac:dyDescent="0.3">
      <c r="C4" s="184" t="s">
        <v>1</v>
      </c>
      <c r="D4" s="185"/>
      <c r="E4" s="185"/>
      <c r="F4" s="185"/>
      <c r="G4" s="185"/>
      <c r="H4" s="185"/>
      <c r="I4" s="185"/>
      <c r="J4" s="185"/>
      <c r="K4" s="186"/>
    </row>
    <row r="5" spans="2:11" ht="18" customHeight="1" x14ac:dyDescent="0.3">
      <c r="C5" s="132"/>
      <c r="F5" s="182"/>
      <c r="G5" s="182"/>
      <c r="H5" s="182"/>
      <c r="I5" s="182"/>
      <c r="J5" s="182"/>
      <c r="K5" s="133"/>
    </row>
    <row r="6" spans="2:11" ht="18" customHeight="1" x14ac:dyDescent="0.3">
      <c r="C6" s="141" t="s">
        <v>292</v>
      </c>
      <c r="D6" s="138"/>
      <c r="E6" s="138"/>
      <c r="F6" s="183"/>
      <c r="G6" s="183"/>
      <c r="H6" s="183"/>
      <c r="I6" s="183"/>
      <c r="J6" s="183"/>
      <c r="K6" s="140"/>
    </row>
    <row r="7" spans="2:11" ht="14.4" customHeight="1" x14ac:dyDescent="0.3">
      <c r="C7" s="132"/>
      <c r="K7" s="133"/>
    </row>
    <row r="8" spans="2:11" ht="18" customHeight="1" x14ac:dyDescent="0.3">
      <c r="C8" s="175" t="s">
        <v>2</v>
      </c>
      <c r="D8" s="129">
        <v>2024</v>
      </c>
      <c r="E8" s="130"/>
      <c r="F8" s="187" t="s">
        <v>275</v>
      </c>
      <c r="G8" s="187"/>
      <c r="H8" s="187"/>
      <c r="I8" s="187"/>
      <c r="J8" s="187"/>
      <c r="K8" s="133"/>
    </row>
    <row r="9" spans="2:11" ht="33" customHeight="1" x14ac:dyDescent="0.3">
      <c r="C9" s="134"/>
      <c r="E9" s="130"/>
      <c r="F9" s="131"/>
      <c r="G9" s="131"/>
      <c r="H9" s="131"/>
      <c r="I9" s="131"/>
      <c r="J9" s="131"/>
      <c r="K9" s="133"/>
    </row>
    <row r="10" spans="2:11" ht="18" customHeight="1" x14ac:dyDescent="0.3">
      <c r="C10" s="141" t="s">
        <v>3</v>
      </c>
      <c r="D10" s="138"/>
      <c r="E10" s="138"/>
      <c r="F10" s="138"/>
      <c r="G10" s="139"/>
      <c r="H10" s="139"/>
      <c r="I10" s="139"/>
      <c r="J10" s="139"/>
      <c r="K10" s="140"/>
    </row>
    <row r="11" spans="2:11" ht="14.4" customHeight="1" x14ac:dyDescent="0.3">
      <c r="C11" s="132"/>
      <c r="F11" s="188" t="s">
        <v>5</v>
      </c>
      <c r="G11" s="188"/>
      <c r="H11" s="188"/>
      <c r="I11" s="188"/>
      <c r="J11" s="188"/>
      <c r="K11" s="133"/>
    </row>
    <row r="12" spans="2:11" ht="18" customHeight="1" x14ac:dyDescent="0.3">
      <c r="C12" s="175" t="s">
        <v>4</v>
      </c>
      <c r="D12" s="129" t="s">
        <v>269</v>
      </c>
      <c r="E12" s="130"/>
      <c r="F12" s="189"/>
      <c r="G12" s="189"/>
      <c r="H12" s="189"/>
      <c r="I12" s="189"/>
      <c r="J12" s="189"/>
      <c r="K12" s="133"/>
    </row>
    <row r="13" spans="2:11" ht="18" customHeight="1" x14ac:dyDescent="0.3">
      <c r="C13" s="134"/>
      <c r="F13" s="189"/>
      <c r="G13" s="189"/>
      <c r="H13" s="189"/>
      <c r="I13" s="189"/>
      <c r="J13" s="189"/>
      <c r="K13" s="133"/>
    </row>
    <row r="14" spans="2:11" ht="18" customHeight="1" x14ac:dyDescent="0.3">
      <c r="C14" s="175" t="s">
        <v>6</v>
      </c>
      <c r="D14" s="129">
        <v>28</v>
      </c>
      <c r="F14" s="189"/>
      <c r="G14" s="189"/>
      <c r="H14" s="189"/>
      <c r="I14" s="189"/>
      <c r="J14" s="189"/>
      <c r="K14" s="133"/>
    </row>
    <row r="15" spans="2:11" ht="33" customHeight="1" x14ac:dyDescent="0.3">
      <c r="C15" s="132"/>
      <c r="F15" s="189"/>
      <c r="G15" s="189"/>
      <c r="H15" s="189"/>
      <c r="I15" s="189"/>
      <c r="J15" s="189"/>
      <c r="K15" s="133"/>
    </row>
    <row r="16" spans="2:11" ht="18" customHeight="1" x14ac:dyDescent="0.3">
      <c r="C16" s="141" t="s">
        <v>7</v>
      </c>
      <c r="D16" s="138"/>
      <c r="E16" s="138"/>
      <c r="F16" s="138"/>
      <c r="G16" s="138"/>
      <c r="H16" s="138"/>
      <c r="I16" s="138"/>
      <c r="J16" s="138"/>
      <c r="K16" s="140"/>
    </row>
    <row r="17" spans="3:11" ht="14.4" customHeight="1" x14ac:dyDescent="0.3">
      <c r="C17" s="132"/>
      <c r="F17" s="190" t="s">
        <v>293</v>
      </c>
      <c r="G17" s="190"/>
      <c r="H17" s="190"/>
      <c r="I17" s="190"/>
      <c r="J17" s="190"/>
      <c r="K17" s="133"/>
    </row>
    <row r="18" spans="3:11" ht="18" customHeight="1" x14ac:dyDescent="0.3">
      <c r="C18" s="175" t="s">
        <v>8</v>
      </c>
      <c r="D18" s="129" t="s">
        <v>9</v>
      </c>
      <c r="F18" s="191"/>
      <c r="G18" s="191"/>
      <c r="H18" s="191"/>
      <c r="I18" s="191"/>
      <c r="J18" s="191"/>
      <c r="K18" s="133"/>
    </row>
    <row r="19" spans="3:11" ht="18" customHeight="1" x14ac:dyDescent="0.3">
      <c r="C19" s="132"/>
      <c r="F19" s="191"/>
      <c r="G19" s="191"/>
      <c r="H19" s="191"/>
      <c r="I19" s="191"/>
      <c r="J19" s="191"/>
      <c r="K19" s="133"/>
    </row>
    <row r="20" spans="3:11" ht="18" customHeight="1" x14ac:dyDescent="0.3">
      <c r="C20" s="132"/>
      <c r="F20" s="191"/>
      <c r="G20" s="191"/>
      <c r="H20" s="191"/>
      <c r="I20" s="191"/>
      <c r="J20" s="191"/>
      <c r="K20" s="133"/>
    </row>
    <row r="21" spans="3:11" ht="18" customHeight="1" thickBot="1" x14ac:dyDescent="0.35">
      <c r="C21" s="135"/>
      <c r="D21" s="136"/>
      <c r="E21" s="136"/>
      <c r="F21" s="192"/>
      <c r="G21" s="192"/>
      <c r="H21" s="192"/>
      <c r="I21" s="192"/>
      <c r="J21" s="192"/>
      <c r="K21" s="137"/>
    </row>
    <row r="22" spans="3:11" ht="18" customHeight="1" thickTop="1" x14ac:dyDescent="0.3"/>
  </sheetData>
  <mergeCells count="4">
    <mergeCell ref="C4:K4"/>
    <mergeCell ref="F8:J8"/>
    <mergeCell ref="F11:J15"/>
    <mergeCell ref="F17:J21"/>
  </mergeCells>
  <conditionalFormatting sqref="D14">
    <cfRule type="expression" dxfId="68" priority="1">
      <formula>shift_late_income_status="inactive"</formula>
    </cfRule>
  </conditionalFormatting>
  <dataValidations count="2">
    <dataValidation type="list" allowBlank="1" showInputMessage="1" showErrorMessage="1" sqref="D12" xr:uid="{C6E6663E-2ACB-4B18-9CB9-456D0815745D}">
      <formula1>"Active, Inactive"</formula1>
    </dataValidation>
    <dataValidation type="list" allowBlank="1" showInputMessage="1" showErrorMessage="1" sqref="D18" xr:uid="{0CCEF26D-3797-4C95-8015-16B12CFF6500}">
      <formula1>"% allocated to Savings, % not allocated to Expenditure"</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525AE-9BD8-4AA6-9FA6-018319901C31}">
  <sheetPr codeName="Sheet2">
    <tabColor theme="8" tint="-0.249977111117893"/>
  </sheetPr>
  <dimension ref="B1:GB70"/>
  <sheetViews>
    <sheetView showGridLines="0" showZeros="0" zoomScale="80" zoomScaleNormal="80" workbookViewId="0">
      <pane xSplit="3" ySplit="1" topLeftCell="D2" activePane="bottomRight" state="frozen"/>
      <selection pane="topRight" activeCell="D1" sqref="D1"/>
      <selection pane="bottomLeft" activeCell="A2" sqref="A2"/>
      <selection pane="bottomRight" activeCell="M15" sqref="M15"/>
    </sheetView>
  </sheetViews>
  <sheetFormatPr defaultColWidth="9.109375" defaultRowHeight="14.4" outlineLevelCol="1" x14ac:dyDescent="0.3"/>
  <cols>
    <col min="1" max="1" width="3.6640625" style="3" customWidth="1"/>
    <col min="2" max="2" width="30.109375" style="3" customWidth="1"/>
    <col min="3" max="3" width="1.33203125" style="3" customWidth="1"/>
    <col min="4" max="4" width="10" style="3" customWidth="1" outlineLevel="1"/>
    <col min="5" max="15" width="12.5546875" style="3" customWidth="1" outlineLevel="1"/>
    <col min="16" max="16" width="13.6640625" style="3" customWidth="1"/>
    <col min="17" max="17" width="2" style="3" customWidth="1"/>
    <col min="18" max="18" width="10" style="3" customWidth="1" outlineLevel="1"/>
    <col min="19" max="29" width="12.5546875" style="3" customWidth="1" outlineLevel="1"/>
    <col min="30" max="30" width="13.6640625" style="3" customWidth="1"/>
    <col min="31" max="31" width="2" style="3" customWidth="1"/>
    <col min="32" max="32" width="10" style="3" customWidth="1" outlineLevel="1"/>
    <col min="33" max="43" width="12.5546875" style="3" customWidth="1" outlineLevel="1"/>
    <col min="44" max="44" width="13.6640625" style="3" customWidth="1"/>
    <col min="45" max="45" width="2" style="3" customWidth="1"/>
    <col min="46" max="46" width="10" style="3" customWidth="1" outlineLevel="1"/>
    <col min="47" max="57" width="12.5546875" style="3" customWidth="1" outlineLevel="1"/>
    <col min="58" max="58" width="13.6640625" style="3" customWidth="1"/>
    <col min="59" max="59" width="2" style="3" customWidth="1"/>
    <col min="60" max="60" width="10" style="3" customWidth="1" outlineLevel="1"/>
    <col min="61" max="71" width="12.5546875" style="3" customWidth="1" outlineLevel="1"/>
    <col min="72" max="72" width="13.6640625" style="3" customWidth="1"/>
    <col min="73" max="73" width="2" style="3" customWidth="1"/>
    <col min="74" max="74" width="10" style="3" customWidth="1" outlineLevel="1"/>
    <col min="75" max="85" width="12.5546875" style="3" customWidth="1" outlineLevel="1"/>
    <col min="86" max="86" width="13.6640625" style="3" customWidth="1"/>
    <col min="87" max="87" width="2" style="3" customWidth="1"/>
    <col min="88" max="88" width="10" style="3" customWidth="1" outlineLevel="1"/>
    <col min="89" max="99" width="12.5546875" style="3" customWidth="1" outlineLevel="1"/>
    <col min="100" max="100" width="13.6640625" style="3" customWidth="1"/>
    <col min="101" max="101" width="2" style="3" customWidth="1"/>
    <col min="102" max="102" width="10" style="3" customWidth="1" outlineLevel="1"/>
    <col min="103" max="113" width="12.5546875" style="3" customWidth="1" outlineLevel="1"/>
    <col min="114" max="114" width="13.6640625" style="3" customWidth="1"/>
    <col min="115" max="115" width="2" style="3" customWidth="1"/>
    <col min="116" max="116" width="10" style="3" customWidth="1" outlineLevel="1"/>
    <col min="117" max="127" width="12.5546875" style="3" customWidth="1" outlineLevel="1"/>
    <col min="128" max="128" width="13.6640625" style="3" customWidth="1"/>
    <col min="129" max="129" width="2" style="3" customWidth="1"/>
    <col min="130" max="130" width="10" style="3" customWidth="1" outlineLevel="1"/>
    <col min="131" max="141" width="12.5546875" style="3" customWidth="1" outlineLevel="1"/>
    <col min="142" max="142" width="13.6640625" style="3" customWidth="1"/>
    <col min="143" max="143" width="2" style="3" customWidth="1"/>
    <col min="144" max="144" width="10" style="3" customWidth="1" outlineLevel="1"/>
    <col min="145" max="155" width="12.5546875" style="3" customWidth="1" outlineLevel="1"/>
    <col min="156" max="156" width="13.6640625" style="3" customWidth="1"/>
    <col min="157" max="157" width="2" style="3" customWidth="1"/>
    <col min="158" max="158" width="10" style="3" customWidth="1" outlineLevel="1"/>
    <col min="159" max="169" width="12.5546875" style="3" customWidth="1" outlineLevel="1"/>
    <col min="170" max="170" width="13.6640625" style="3" customWidth="1"/>
    <col min="171" max="171" width="2" style="3" customWidth="1"/>
    <col min="172" max="172" width="10" style="3" customWidth="1" outlineLevel="1"/>
    <col min="173" max="183" width="12.5546875" style="3" customWidth="1" outlineLevel="1"/>
    <col min="184" max="184" width="13.6640625" style="3" customWidth="1"/>
    <col min="185" max="185" width="2" style="3" customWidth="1"/>
    <col min="186" max="16384" width="9.109375" style="3"/>
  </cols>
  <sheetData>
    <row r="1" spans="2:184" s="2" customFormat="1" ht="47.4" customHeight="1" x14ac:dyDescent="0.3">
      <c r="B1" s="2" t="s">
        <v>10</v>
      </c>
    </row>
    <row r="2" spans="2:184" ht="15" thickBot="1" x14ac:dyDescent="0.35"/>
    <row r="3" spans="2:184" ht="16.2" thickBot="1" x14ac:dyDescent="0.35">
      <c r="B3" s="105" t="s">
        <v>271</v>
      </c>
      <c r="C3" s="4"/>
      <c r="D3" s="193">
        <f>starting_year</f>
        <v>2024</v>
      </c>
      <c r="E3" s="193"/>
      <c r="F3" s="193"/>
      <c r="G3" s="193"/>
      <c r="H3" s="193"/>
      <c r="I3" s="193"/>
      <c r="J3" s="193"/>
      <c r="K3" s="193"/>
      <c r="L3" s="193"/>
      <c r="M3" s="193"/>
      <c r="N3" s="193"/>
      <c r="O3" s="193"/>
      <c r="P3" s="193"/>
      <c r="R3" s="193">
        <f>D3+1</f>
        <v>2025</v>
      </c>
      <c r="S3" s="193"/>
      <c r="T3" s="193"/>
      <c r="U3" s="193"/>
      <c r="V3" s="193"/>
      <c r="W3" s="193"/>
      <c r="X3" s="193"/>
      <c r="Y3" s="193"/>
      <c r="Z3" s="193"/>
      <c r="AA3" s="193"/>
      <c r="AB3" s="193"/>
      <c r="AC3" s="193"/>
      <c r="AD3" s="193"/>
      <c r="AF3" s="193">
        <f>R3+1</f>
        <v>2026</v>
      </c>
      <c r="AG3" s="193"/>
      <c r="AH3" s="193"/>
      <c r="AI3" s="193"/>
      <c r="AJ3" s="193"/>
      <c r="AK3" s="193"/>
      <c r="AL3" s="193"/>
      <c r="AM3" s="193"/>
      <c r="AN3" s="193"/>
      <c r="AO3" s="193"/>
      <c r="AP3" s="193"/>
      <c r="AQ3" s="193"/>
      <c r="AR3" s="193"/>
      <c r="AT3" s="193">
        <f>AF3+1</f>
        <v>2027</v>
      </c>
      <c r="AU3" s="193"/>
      <c r="AV3" s="193"/>
      <c r="AW3" s="193"/>
      <c r="AX3" s="193"/>
      <c r="AY3" s="193"/>
      <c r="AZ3" s="193"/>
      <c r="BA3" s="193"/>
      <c r="BB3" s="193"/>
      <c r="BC3" s="193"/>
      <c r="BD3" s="193"/>
      <c r="BE3" s="193"/>
      <c r="BF3" s="193"/>
      <c r="BH3" s="193">
        <f>AT3+1</f>
        <v>2028</v>
      </c>
      <c r="BI3" s="193"/>
      <c r="BJ3" s="193"/>
      <c r="BK3" s="193"/>
      <c r="BL3" s="193"/>
      <c r="BM3" s="193"/>
      <c r="BN3" s="193"/>
      <c r="BO3" s="193"/>
      <c r="BP3" s="193"/>
      <c r="BQ3" s="193"/>
      <c r="BR3" s="193"/>
      <c r="BS3" s="193"/>
      <c r="BT3" s="193"/>
      <c r="BV3" s="193">
        <f>BH3+1</f>
        <v>2029</v>
      </c>
      <c r="BW3" s="193"/>
      <c r="BX3" s="193"/>
      <c r="BY3" s="193"/>
      <c r="BZ3" s="193"/>
      <c r="CA3" s="193"/>
      <c r="CB3" s="193"/>
      <c r="CC3" s="193"/>
      <c r="CD3" s="193"/>
      <c r="CE3" s="193"/>
      <c r="CF3" s="193"/>
      <c r="CG3" s="193"/>
      <c r="CH3" s="193"/>
      <c r="CJ3" s="193">
        <f>BV3+1</f>
        <v>2030</v>
      </c>
      <c r="CK3" s="193"/>
      <c r="CL3" s="193"/>
      <c r="CM3" s="193"/>
      <c r="CN3" s="193"/>
      <c r="CO3" s="193"/>
      <c r="CP3" s="193"/>
      <c r="CQ3" s="193"/>
      <c r="CR3" s="193"/>
      <c r="CS3" s="193"/>
      <c r="CT3" s="193"/>
      <c r="CU3" s="193"/>
      <c r="CV3" s="193"/>
      <c r="CX3" s="193">
        <f>CJ3+1</f>
        <v>2031</v>
      </c>
      <c r="CY3" s="193"/>
      <c r="CZ3" s="193"/>
      <c r="DA3" s="193"/>
      <c r="DB3" s="193"/>
      <c r="DC3" s="193"/>
      <c r="DD3" s="193"/>
      <c r="DE3" s="193"/>
      <c r="DF3" s="193"/>
      <c r="DG3" s="193"/>
      <c r="DH3" s="193"/>
      <c r="DI3" s="193"/>
      <c r="DJ3" s="193"/>
      <c r="DL3" s="193">
        <f>CX3+1</f>
        <v>2032</v>
      </c>
      <c r="DM3" s="193"/>
      <c r="DN3" s="193"/>
      <c r="DO3" s="193"/>
      <c r="DP3" s="193"/>
      <c r="DQ3" s="193"/>
      <c r="DR3" s="193"/>
      <c r="DS3" s="193"/>
      <c r="DT3" s="193"/>
      <c r="DU3" s="193"/>
      <c r="DV3" s="193"/>
      <c r="DW3" s="193"/>
      <c r="DX3" s="193"/>
      <c r="DZ3" s="193">
        <f>DL3+1</f>
        <v>2033</v>
      </c>
      <c r="EA3" s="193"/>
      <c r="EB3" s="193"/>
      <c r="EC3" s="193"/>
      <c r="ED3" s="193"/>
      <c r="EE3" s="193"/>
      <c r="EF3" s="193"/>
      <c r="EG3" s="193"/>
      <c r="EH3" s="193"/>
      <c r="EI3" s="193"/>
      <c r="EJ3" s="193"/>
      <c r="EK3" s="193"/>
      <c r="EL3" s="193"/>
      <c r="EN3" s="193">
        <f>DZ3+1</f>
        <v>2034</v>
      </c>
      <c r="EO3" s="193"/>
      <c r="EP3" s="193"/>
      <c r="EQ3" s="193"/>
      <c r="ER3" s="193"/>
      <c r="ES3" s="193"/>
      <c r="ET3" s="193"/>
      <c r="EU3" s="193"/>
      <c r="EV3" s="193"/>
      <c r="EW3" s="193"/>
      <c r="EX3" s="193"/>
      <c r="EY3" s="193"/>
      <c r="EZ3" s="193"/>
      <c r="FB3" s="193">
        <f>EN3+1</f>
        <v>2035</v>
      </c>
      <c r="FC3" s="193"/>
      <c r="FD3" s="193"/>
      <c r="FE3" s="193"/>
      <c r="FF3" s="193"/>
      <c r="FG3" s="193"/>
      <c r="FH3" s="193"/>
      <c r="FI3" s="193"/>
      <c r="FJ3" s="193"/>
      <c r="FK3" s="193"/>
      <c r="FL3" s="193"/>
      <c r="FM3" s="193"/>
      <c r="FN3" s="193"/>
      <c r="FP3" s="193">
        <f>FB3+1</f>
        <v>2036</v>
      </c>
      <c r="FQ3" s="193"/>
      <c r="FR3" s="193"/>
      <c r="FS3" s="193"/>
      <c r="FT3" s="193"/>
      <c r="FU3" s="193"/>
      <c r="FV3" s="193"/>
      <c r="FW3" s="193"/>
      <c r="FX3" s="193"/>
      <c r="FY3" s="193"/>
      <c r="FZ3" s="193"/>
      <c r="GA3" s="193"/>
      <c r="GB3" s="193"/>
    </row>
    <row r="4" spans="2:184" ht="15" thickBot="1" x14ac:dyDescent="0.35">
      <c r="B4" s="106"/>
      <c r="D4" s="125" t="str">
        <f ca="1">IF(D5=0, "Jan ✔", "Jan")</f>
        <v>Jan</v>
      </c>
      <c r="E4" s="125" t="str">
        <f ca="1">IF(E5=0, "Feb ✔", "Feb")</f>
        <v>Feb</v>
      </c>
      <c r="F4" s="125" t="str">
        <f ca="1">IF(F5=0, "Mar ✔", "Mar")</f>
        <v>Mar</v>
      </c>
      <c r="G4" s="125" t="str">
        <f ca="1">IF(G5=0, "Apr ✔", "Apr")</f>
        <v>Apr</v>
      </c>
      <c r="H4" s="125" t="str">
        <f ca="1">IF(H5=0, "May ✔", "May")</f>
        <v>May</v>
      </c>
      <c r="I4" s="125" t="str">
        <f ca="1">IF(I5=0, "Jun ✔", "Jun")</f>
        <v>Jun</v>
      </c>
      <c r="J4" s="125" t="str">
        <f ca="1">IF(J5=0, "Jul ✔", "Jul")</f>
        <v>Jul</v>
      </c>
      <c r="K4" s="125" t="str">
        <f ca="1">IF(K5=0, "Aug ✔", "Aug")</f>
        <v>Aug</v>
      </c>
      <c r="L4" s="125" t="str">
        <f ca="1">IF(L5=0, "Sep ✔", "Sep")</f>
        <v>Sep</v>
      </c>
      <c r="M4" s="125" t="str">
        <f ca="1">IF(M5=0, "Oct ✔", "Oct")</f>
        <v>Oct</v>
      </c>
      <c r="N4" s="125" t="str">
        <f ca="1">IF(N5=0, "Nov ✔", "Nov")</f>
        <v>Nov</v>
      </c>
      <c r="O4" s="125" t="str">
        <f ca="1">IF(O5=0, "Dec ✔", "Dec")</f>
        <v>Dec</v>
      </c>
      <c r="P4" s="125" t="str">
        <f ca="1">IF(P5=0, "Total ✔", "Total")</f>
        <v>Total</v>
      </c>
      <c r="R4" s="125" t="str">
        <f ca="1">IF(R5=0, "Jan ✔", "Jan")</f>
        <v>Jan ✔</v>
      </c>
      <c r="S4" s="125" t="str">
        <f ca="1">IF(S5=0, "Feb ✔", "Feb")</f>
        <v>Feb ✔</v>
      </c>
      <c r="T4" s="125" t="str">
        <f ca="1">IF(T5=0, "Mar ✔", "Mar")</f>
        <v>Mar ✔</v>
      </c>
      <c r="U4" s="125" t="str">
        <f ca="1">IF(U5=0, "Apr ✔", "Apr")</f>
        <v>Apr ✔</v>
      </c>
      <c r="V4" s="125" t="str">
        <f ca="1">IF(V5=0, "May ✔", "May")</f>
        <v>May ✔</v>
      </c>
      <c r="W4" s="125" t="str">
        <f ca="1">IF(W5=0, "Jun ✔", "Jun")</f>
        <v>Jun ✔</v>
      </c>
      <c r="X4" s="125" t="str">
        <f ca="1">IF(X5=0, "Jul ✔", "Jul")</f>
        <v>Jul ✔</v>
      </c>
      <c r="Y4" s="125" t="str">
        <f ca="1">IF(Y5=0, "Aug ✔", "Aug")</f>
        <v>Aug ✔</v>
      </c>
      <c r="Z4" s="125" t="str">
        <f ca="1">IF(Z5=0, "Sep ✔", "Sep")</f>
        <v>Sep ✔</v>
      </c>
      <c r="AA4" s="125" t="str">
        <f ca="1">IF(AA5=0, "Oct ✔", "Oct")</f>
        <v>Oct ✔</v>
      </c>
      <c r="AB4" s="125" t="str">
        <f ca="1">IF(AB5=0, "Nov ✔", "Nov")</f>
        <v>Nov ✔</v>
      </c>
      <c r="AC4" s="125" t="str">
        <f ca="1">IF(AC5=0, "Dec ✔", "Dec")</f>
        <v>Dec ✔</v>
      </c>
      <c r="AD4" s="125" t="str">
        <f ca="1">IF(AD5=0, "Total ✔", "Total")</f>
        <v>Total ✔</v>
      </c>
      <c r="AF4" s="125" t="str">
        <f ca="1">IF(AF5=0, "Jan ✔", "Jan")</f>
        <v>Jan ✔</v>
      </c>
      <c r="AG4" s="125" t="str">
        <f ca="1">IF(AG5=0, "Feb ✔", "Feb")</f>
        <v>Feb ✔</v>
      </c>
      <c r="AH4" s="125" t="str">
        <f ca="1">IF(AH5=0, "Mar ✔", "Mar")</f>
        <v>Mar ✔</v>
      </c>
      <c r="AI4" s="125" t="str">
        <f ca="1">IF(AI5=0, "Apr ✔", "Apr")</f>
        <v>Apr ✔</v>
      </c>
      <c r="AJ4" s="125" t="str">
        <f ca="1">IF(AJ5=0, "May ✔", "May")</f>
        <v>May ✔</v>
      </c>
      <c r="AK4" s="125" t="str">
        <f ca="1">IF(AK5=0, "Jun ✔", "Jun")</f>
        <v>Jun ✔</v>
      </c>
      <c r="AL4" s="125" t="str">
        <f ca="1">IF(AL5=0, "Jul ✔", "Jul")</f>
        <v>Jul ✔</v>
      </c>
      <c r="AM4" s="125" t="str">
        <f ca="1">IF(AM5=0, "Aug ✔", "Aug")</f>
        <v>Aug ✔</v>
      </c>
      <c r="AN4" s="125" t="str">
        <f ca="1">IF(AN5=0, "Sep ✔", "Sep")</f>
        <v>Sep ✔</v>
      </c>
      <c r="AO4" s="125" t="str">
        <f ca="1">IF(AO5=0, "Oct ✔", "Oct")</f>
        <v>Oct ✔</v>
      </c>
      <c r="AP4" s="125" t="str">
        <f ca="1">IF(AP5=0, "Nov ✔", "Nov")</f>
        <v>Nov ✔</v>
      </c>
      <c r="AQ4" s="125" t="str">
        <f ca="1">IF(AQ5=0, "Dec ✔", "Dec")</f>
        <v>Dec ✔</v>
      </c>
      <c r="AR4" s="125" t="str">
        <f ca="1">IF(AR5=0, "Total ✔", "Total")</f>
        <v>Total ✔</v>
      </c>
      <c r="AT4" s="125" t="str">
        <f ca="1">IF(AT5=0, "Jan ✔", "Jan")</f>
        <v>Jan ✔</v>
      </c>
      <c r="AU4" s="125" t="str">
        <f ca="1">IF(AU5=0, "Feb ✔", "Feb")</f>
        <v>Feb ✔</v>
      </c>
      <c r="AV4" s="125" t="str">
        <f ca="1">IF(AV5=0, "Mar ✔", "Mar")</f>
        <v>Mar ✔</v>
      </c>
      <c r="AW4" s="125" t="str">
        <f ca="1">IF(AW5=0, "Apr ✔", "Apr")</f>
        <v>Apr ✔</v>
      </c>
      <c r="AX4" s="125" t="str">
        <f ca="1">IF(AX5=0, "May ✔", "May")</f>
        <v>May ✔</v>
      </c>
      <c r="AY4" s="125" t="str">
        <f ca="1">IF(AY5=0, "Jun ✔", "Jun")</f>
        <v>Jun ✔</v>
      </c>
      <c r="AZ4" s="125" t="str">
        <f ca="1">IF(AZ5=0, "Jul ✔", "Jul")</f>
        <v>Jul ✔</v>
      </c>
      <c r="BA4" s="125" t="str">
        <f ca="1">IF(BA5=0, "Aug ✔", "Aug")</f>
        <v>Aug ✔</v>
      </c>
      <c r="BB4" s="125" t="str">
        <f ca="1">IF(BB5=0, "Sep ✔", "Sep")</f>
        <v>Sep ✔</v>
      </c>
      <c r="BC4" s="125" t="str">
        <f ca="1">IF(BC5=0, "Oct ✔", "Oct")</f>
        <v>Oct ✔</v>
      </c>
      <c r="BD4" s="125" t="str">
        <f ca="1">IF(BD5=0, "Nov ✔", "Nov")</f>
        <v>Nov ✔</v>
      </c>
      <c r="BE4" s="125" t="str">
        <f ca="1">IF(BE5=0, "Dec ✔", "Dec")</f>
        <v>Dec ✔</v>
      </c>
      <c r="BF4" s="125" t="str">
        <f ca="1">IF(BF5=0, "Total ✔", "Total")</f>
        <v>Total ✔</v>
      </c>
      <c r="BH4" s="125" t="str">
        <f ca="1">IF(BH5=0, "Jan ✔", "Jan")</f>
        <v>Jan ✔</v>
      </c>
      <c r="BI4" s="125" t="str">
        <f ca="1">IF(BI5=0, "Feb ✔", "Feb")</f>
        <v>Feb ✔</v>
      </c>
      <c r="BJ4" s="125" t="str">
        <f ca="1">IF(BJ5=0, "Mar ✔", "Mar")</f>
        <v>Mar ✔</v>
      </c>
      <c r="BK4" s="125" t="str">
        <f ca="1">IF(BK5=0, "Apr ✔", "Apr")</f>
        <v>Apr ✔</v>
      </c>
      <c r="BL4" s="125" t="str">
        <f ca="1">IF(BL5=0, "May ✔", "May")</f>
        <v>May ✔</v>
      </c>
      <c r="BM4" s="125" t="str">
        <f ca="1">IF(BM5=0, "Jun ✔", "Jun")</f>
        <v>Jun ✔</v>
      </c>
      <c r="BN4" s="125" t="str">
        <f ca="1">IF(BN5=0, "Jul ✔", "Jul")</f>
        <v>Jul ✔</v>
      </c>
      <c r="BO4" s="125" t="str">
        <f ca="1">IF(BO5=0, "Aug ✔", "Aug")</f>
        <v>Aug ✔</v>
      </c>
      <c r="BP4" s="125" t="str">
        <f ca="1">IF(BP5=0, "Sep ✔", "Sep")</f>
        <v>Sep ✔</v>
      </c>
      <c r="BQ4" s="125" t="str">
        <f ca="1">IF(BQ5=0, "Oct ✔", "Oct")</f>
        <v>Oct ✔</v>
      </c>
      <c r="BR4" s="125" t="str">
        <f ca="1">IF(BR5=0, "Nov ✔", "Nov")</f>
        <v>Nov ✔</v>
      </c>
      <c r="BS4" s="125" t="str">
        <f ca="1">IF(BS5=0, "Dec ✔", "Dec")</f>
        <v>Dec ✔</v>
      </c>
      <c r="BT4" s="125" t="str">
        <f ca="1">IF(BT5=0, "Total ✔", "Total")</f>
        <v>Total ✔</v>
      </c>
      <c r="BV4" s="125" t="str">
        <f ca="1">IF(BV5=0, "Jan ✔", "Jan")</f>
        <v>Jan ✔</v>
      </c>
      <c r="BW4" s="125" t="str">
        <f ca="1">IF(BW5=0, "Feb ✔", "Feb")</f>
        <v>Feb ✔</v>
      </c>
      <c r="BX4" s="125" t="str">
        <f ca="1">IF(BX5=0, "Mar ✔", "Mar")</f>
        <v>Mar ✔</v>
      </c>
      <c r="BY4" s="125" t="str">
        <f ca="1">IF(BY5=0, "Apr ✔", "Apr")</f>
        <v>Apr ✔</v>
      </c>
      <c r="BZ4" s="125" t="str">
        <f ca="1">IF(BZ5=0, "May ✔", "May")</f>
        <v>May ✔</v>
      </c>
      <c r="CA4" s="125" t="str">
        <f ca="1">IF(CA5=0, "Jun ✔", "Jun")</f>
        <v>Jun ✔</v>
      </c>
      <c r="CB4" s="125" t="str">
        <f ca="1">IF(CB5=0, "Jul ✔", "Jul")</f>
        <v>Jul ✔</v>
      </c>
      <c r="CC4" s="125" t="str">
        <f ca="1">IF(CC5=0, "Aug ✔", "Aug")</f>
        <v>Aug ✔</v>
      </c>
      <c r="CD4" s="125" t="str">
        <f ca="1">IF(CD5=0, "Sep ✔", "Sep")</f>
        <v>Sep ✔</v>
      </c>
      <c r="CE4" s="125" t="str">
        <f ca="1">IF(CE5=0, "Oct ✔", "Oct")</f>
        <v>Oct ✔</v>
      </c>
      <c r="CF4" s="125" t="str">
        <f ca="1">IF(CF5=0, "Nov ✔", "Nov")</f>
        <v>Nov ✔</v>
      </c>
      <c r="CG4" s="125" t="str">
        <f ca="1">IF(CG5=0, "Dec ✔", "Dec")</f>
        <v>Dec ✔</v>
      </c>
      <c r="CH4" s="125" t="str">
        <f ca="1">IF(CH5=0, "Total ✔", "Total")</f>
        <v>Total ✔</v>
      </c>
      <c r="CJ4" s="125" t="str">
        <f ca="1">IF(CJ5=0, "Jan ✔", "Jan")</f>
        <v>Jan ✔</v>
      </c>
      <c r="CK4" s="125" t="str">
        <f ca="1">IF(CK5=0, "Feb ✔", "Feb")</f>
        <v>Feb ✔</v>
      </c>
      <c r="CL4" s="125" t="str">
        <f ca="1">IF(CL5=0, "Mar ✔", "Mar")</f>
        <v>Mar ✔</v>
      </c>
      <c r="CM4" s="125" t="str">
        <f ca="1">IF(CM5=0, "Apr ✔", "Apr")</f>
        <v>Apr ✔</v>
      </c>
      <c r="CN4" s="125" t="str">
        <f ca="1">IF(CN5=0, "May ✔", "May")</f>
        <v>May ✔</v>
      </c>
      <c r="CO4" s="125" t="str">
        <f ca="1">IF(CO5=0, "Jun ✔", "Jun")</f>
        <v>Jun ✔</v>
      </c>
      <c r="CP4" s="125" t="str">
        <f ca="1">IF(CP5=0, "Jul ✔", "Jul")</f>
        <v>Jul ✔</v>
      </c>
      <c r="CQ4" s="125" t="str">
        <f ca="1">IF(CQ5=0, "Aug ✔", "Aug")</f>
        <v>Aug ✔</v>
      </c>
      <c r="CR4" s="125" t="str">
        <f ca="1">IF(CR5=0, "Sep ✔", "Sep")</f>
        <v>Sep ✔</v>
      </c>
      <c r="CS4" s="125" t="str">
        <f ca="1">IF(CS5=0, "Oct ✔", "Oct")</f>
        <v>Oct ✔</v>
      </c>
      <c r="CT4" s="125" t="str">
        <f ca="1">IF(CT5=0, "Nov ✔", "Nov")</f>
        <v>Nov ✔</v>
      </c>
      <c r="CU4" s="125" t="str">
        <f ca="1">IF(CU5=0, "Dec ✔", "Dec")</f>
        <v>Dec ✔</v>
      </c>
      <c r="CV4" s="125" t="str">
        <f ca="1">IF(CV5=0, "Total ✔", "Total")</f>
        <v>Total ✔</v>
      </c>
      <c r="CX4" s="125" t="str">
        <f ca="1">IF(CX5=0, "Jan ✔", "Jan")</f>
        <v>Jan ✔</v>
      </c>
      <c r="CY4" s="125" t="str">
        <f ca="1">IF(CY5=0, "Feb ✔", "Feb")</f>
        <v>Feb ✔</v>
      </c>
      <c r="CZ4" s="125" t="str">
        <f ca="1">IF(CZ5=0, "Mar ✔", "Mar")</f>
        <v>Mar ✔</v>
      </c>
      <c r="DA4" s="125" t="str">
        <f ca="1">IF(DA5=0, "Apr ✔", "Apr")</f>
        <v>Apr ✔</v>
      </c>
      <c r="DB4" s="125" t="str">
        <f ca="1">IF(DB5=0, "May ✔", "May")</f>
        <v>May ✔</v>
      </c>
      <c r="DC4" s="125" t="str">
        <f ca="1">IF(DC5=0, "Jun ✔", "Jun")</f>
        <v>Jun ✔</v>
      </c>
      <c r="DD4" s="125" t="str">
        <f ca="1">IF(DD5=0, "Jul ✔", "Jul")</f>
        <v>Jul ✔</v>
      </c>
      <c r="DE4" s="125" t="str">
        <f ca="1">IF(DE5=0, "Aug ✔", "Aug")</f>
        <v>Aug ✔</v>
      </c>
      <c r="DF4" s="125" t="str">
        <f ca="1">IF(DF5=0, "Sep ✔", "Sep")</f>
        <v>Sep ✔</v>
      </c>
      <c r="DG4" s="125" t="str">
        <f ca="1">IF(DG5=0, "Oct ✔", "Oct")</f>
        <v>Oct ✔</v>
      </c>
      <c r="DH4" s="125" t="str">
        <f ca="1">IF(DH5=0, "Nov ✔", "Nov")</f>
        <v>Nov ✔</v>
      </c>
      <c r="DI4" s="125" t="str">
        <f ca="1">IF(DI5=0, "Dec ✔", "Dec")</f>
        <v>Dec ✔</v>
      </c>
      <c r="DJ4" s="125" t="str">
        <f ca="1">IF(DJ5=0, "Total ✔", "Total")</f>
        <v>Total ✔</v>
      </c>
      <c r="DL4" s="125" t="str">
        <f ca="1">IF(DL5=0, "Jan ✔", "Jan")</f>
        <v>Jan ✔</v>
      </c>
      <c r="DM4" s="125" t="str">
        <f ca="1">IF(DM5=0, "Feb ✔", "Feb")</f>
        <v>Feb ✔</v>
      </c>
      <c r="DN4" s="125" t="str">
        <f ca="1">IF(DN5=0, "Mar ✔", "Mar")</f>
        <v>Mar ✔</v>
      </c>
      <c r="DO4" s="125" t="str">
        <f ca="1">IF(DO5=0, "Apr ✔", "Apr")</f>
        <v>Apr ✔</v>
      </c>
      <c r="DP4" s="125" t="str">
        <f ca="1">IF(DP5=0, "May ✔", "May")</f>
        <v>May ✔</v>
      </c>
      <c r="DQ4" s="125" t="str">
        <f ca="1">IF(DQ5=0, "Jun ✔", "Jun")</f>
        <v>Jun ✔</v>
      </c>
      <c r="DR4" s="125" t="str">
        <f ca="1">IF(DR5=0, "Jul ✔", "Jul")</f>
        <v>Jul ✔</v>
      </c>
      <c r="DS4" s="125" t="str">
        <f ca="1">IF(DS5=0, "Aug ✔", "Aug")</f>
        <v>Aug ✔</v>
      </c>
      <c r="DT4" s="125" t="str">
        <f ca="1">IF(DT5=0, "Sep ✔", "Sep")</f>
        <v>Sep ✔</v>
      </c>
      <c r="DU4" s="125" t="str">
        <f ca="1">IF(DU5=0, "Oct ✔", "Oct")</f>
        <v>Oct ✔</v>
      </c>
      <c r="DV4" s="125" t="str">
        <f ca="1">IF(DV5=0, "Nov ✔", "Nov")</f>
        <v>Nov ✔</v>
      </c>
      <c r="DW4" s="125" t="str">
        <f ca="1">IF(DW5=0, "Dec ✔", "Dec")</f>
        <v>Dec ✔</v>
      </c>
      <c r="DX4" s="125" t="str">
        <f ca="1">IF(DX5=0, "Total ✔", "Total")</f>
        <v>Total ✔</v>
      </c>
      <c r="DZ4" s="125" t="str">
        <f ca="1">IF(DZ5=0, "Jan ✔", "Jan")</f>
        <v>Jan ✔</v>
      </c>
      <c r="EA4" s="125" t="str">
        <f ca="1">IF(EA5=0, "Feb ✔", "Feb")</f>
        <v>Feb ✔</v>
      </c>
      <c r="EB4" s="125" t="str">
        <f ca="1">IF(EB5=0, "Mar ✔", "Mar")</f>
        <v>Mar ✔</v>
      </c>
      <c r="EC4" s="125" t="str">
        <f ca="1">IF(EC5=0, "Apr ✔", "Apr")</f>
        <v>Apr ✔</v>
      </c>
      <c r="ED4" s="125" t="str">
        <f ca="1">IF(ED5=0, "May ✔", "May")</f>
        <v>May ✔</v>
      </c>
      <c r="EE4" s="125" t="str">
        <f ca="1">IF(EE5=0, "Jun ✔", "Jun")</f>
        <v>Jun ✔</v>
      </c>
      <c r="EF4" s="125" t="str">
        <f ca="1">IF(EF5=0, "Jul ✔", "Jul")</f>
        <v>Jul ✔</v>
      </c>
      <c r="EG4" s="125" t="str">
        <f ca="1">IF(EG5=0, "Aug ✔", "Aug")</f>
        <v>Aug ✔</v>
      </c>
      <c r="EH4" s="125" t="str">
        <f ca="1">IF(EH5=0, "Sep ✔", "Sep")</f>
        <v>Sep ✔</v>
      </c>
      <c r="EI4" s="125" t="str">
        <f ca="1">IF(EI5=0, "Oct ✔", "Oct")</f>
        <v>Oct ✔</v>
      </c>
      <c r="EJ4" s="125" t="str">
        <f ca="1">IF(EJ5=0, "Nov ✔", "Nov")</f>
        <v>Nov ✔</v>
      </c>
      <c r="EK4" s="125" t="str">
        <f ca="1">IF(EK5=0, "Dec ✔", "Dec")</f>
        <v>Dec ✔</v>
      </c>
      <c r="EL4" s="125" t="str">
        <f ca="1">IF(EL5=0, "Total ✔", "Total")</f>
        <v>Total ✔</v>
      </c>
      <c r="EN4" s="125" t="str">
        <f ca="1">IF(EN5=0, "Jan ✔", "Jan")</f>
        <v>Jan ✔</v>
      </c>
      <c r="EO4" s="125" t="str">
        <f ca="1">IF(EO5=0, "Feb ✔", "Feb")</f>
        <v>Feb ✔</v>
      </c>
      <c r="EP4" s="125" t="str">
        <f ca="1">IF(EP5=0, "Mar ✔", "Mar")</f>
        <v>Mar ✔</v>
      </c>
      <c r="EQ4" s="125" t="str">
        <f ca="1">IF(EQ5=0, "Apr ✔", "Apr")</f>
        <v>Apr ✔</v>
      </c>
      <c r="ER4" s="125" t="str">
        <f ca="1">IF(ER5=0, "May ✔", "May")</f>
        <v>May ✔</v>
      </c>
      <c r="ES4" s="125" t="str">
        <f ca="1">IF(ES5=0, "Jun ✔", "Jun")</f>
        <v>Jun ✔</v>
      </c>
      <c r="ET4" s="125" t="str">
        <f ca="1">IF(ET5=0, "Jul ✔", "Jul")</f>
        <v>Jul ✔</v>
      </c>
      <c r="EU4" s="125" t="str">
        <f ca="1">IF(EU5=0, "Aug ✔", "Aug")</f>
        <v>Aug ✔</v>
      </c>
      <c r="EV4" s="125" t="str">
        <f ca="1">IF(EV5=0, "Sep ✔", "Sep")</f>
        <v>Sep ✔</v>
      </c>
      <c r="EW4" s="125" t="str">
        <f ca="1">IF(EW5=0, "Oct ✔", "Oct")</f>
        <v>Oct ✔</v>
      </c>
      <c r="EX4" s="125" t="str">
        <f ca="1">IF(EX5=0, "Nov ✔", "Nov")</f>
        <v>Nov ✔</v>
      </c>
      <c r="EY4" s="125" t="str">
        <f ca="1">IF(EY5=0, "Dec ✔", "Dec")</f>
        <v>Dec ✔</v>
      </c>
      <c r="EZ4" s="125" t="str">
        <f ca="1">IF(EZ5=0, "Total ✔", "Total")</f>
        <v>Total ✔</v>
      </c>
      <c r="FB4" s="125" t="str">
        <f ca="1">IF(FB5=0, "Jan ✔", "Jan")</f>
        <v>Jan ✔</v>
      </c>
      <c r="FC4" s="125" t="str">
        <f ca="1">IF(FC5=0, "Feb ✔", "Feb")</f>
        <v>Feb ✔</v>
      </c>
      <c r="FD4" s="125" t="str">
        <f ca="1">IF(FD5=0, "Mar ✔", "Mar")</f>
        <v>Mar ✔</v>
      </c>
      <c r="FE4" s="125" t="str">
        <f ca="1">IF(FE5=0, "Apr ✔", "Apr")</f>
        <v>Apr ✔</v>
      </c>
      <c r="FF4" s="125" t="str">
        <f ca="1">IF(FF5=0, "May ✔", "May")</f>
        <v>May ✔</v>
      </c>
      <c r="FG4" s="125" t="str">
        <f ca="1">IF(FG5=0, "Jun ✔", "Jun")</f>
        <v>Jun ✔</v>
      </c>
      <c r="FH4" s="125" t="str">
        <f ca="1">IF(FH5=0, "Jul ✔", "Jul")</f>
        <v>Jul ✔</v>
      </c>
      <c r="FI4" s="125" t="str">
        <f ca="1">IF(FI5=0, "Aug ✔", "Aug")</f>
        <v>Aug ✔</v>
      </c>
      <c r="FJ4" s="125" t="str">
        <f ca="1">IF(FJ5=0, "Sep ✔", "Sep")</f>
        <v>Sep ✔</v>
      </c>
      <c r="FK4" s="125" t="str">
        <f ca="1">IF(FK5=0, "Oct ✔", "Oct")</f>
        <v>Oct ✔</v>
      </c>
      <c r="FL4" s="125" t="str">
        <f ca="1">IF(FL5=0, "Nov ✔", "Nov")</f>
        <v>Nov ✔</v>
      </c>
      <c r="FM4" s="125" t="str">
        <f ca="1">IF(FM5=0, "Dec ✔", "Dec")</f>
        <v>Dec ✔</v>
      </c>
      <c r="FN4" s="125" t="str">
        <f ca="1">IF(FN5=0, "Total ✔", "Total")</f>
        <v>Total ✔</v>
      </c>
      <c r="FP4" s="125" t="str">
        <f ca="1">IF(FP5=0, "Jan ✔", "Jan")</f>
        <v>Jan ✔</v>
      </c>
      <c r="FQ4" s="125" t="str">
        <f ca="1">IF(FQ5=0, "Feb ✔", "Feb")</f>
        <v>Feb ✔</v>
      </c>
      <c r="FR4" s="125" t="str">
        <f ca="1">IF(FR5=0, "Mar ✔", "Mar")</f>
        <v>Mar ✔</v>
      </c>
      <c r="FS4" s="125" t="str">
        <f ca="1">IF(FS5=0, "Apr ✔", "Apr")</f>
        <v>Apr ✔</v>
      </c>
      <c r="FT4" s="125" t="str">
        <f ca="1">IF(FT5=0, "May ✔", "May")</f>
        <v>May ✔</v>
      </c>
      <c r="FU4" s="125" t="str">
        <f ca="1">IF(FU5=0, "Jun ✔", "Jun")</f>
        <v>Jun ✔</v>
      </c>
      <c r="FV4" s="125" t="str">
        <f ca="1">IF(FV5=0, "Jul ✔", "Jul")</f>
        <v>Jul ✔</v>
      </c>
      <c r="FW4" s="125" t="str">
        <f ca="1">IF(FW5=0, "Aug ✔", "Aug")</f>
        <v>Aug ✔</v>
      </c>
      <c r="FX4" s="125" t="str">
        <f ca="1">IF(FX5=0, "Sep ✔", "Sep")</f>
        <v>Sep ✔</v>
      </c>
      <c r="FY4" s="125" t="str">
        <f ca="1">IF(FY5=0, "Oct ✔", "Oct")</f>
        <v>Oct ✔</v>
      </c>
      <c r="FZ4" s="125" t="str">
        <f ca="1">IF(FZ5=0, "Nov ✔", "Nov")</f>
        <v>Nov ✔</v>
      </c>
      <c r="GA4" s="125" t="str">
        <f ca="1">IF(GA5=0, "Dec ✔", "Dec")</f>
        <v>Dec ✔</v>
      </c>
      <c r="GB4" s="125" t="str">
        <f ca="1">IF(GB5=0, "Total ✔", "Total")</f>
        <v>Total ✔</v>
      </c>
    </row>
    <row r="5" spans="2:184" ht="15" thickBot="1" x14ac:dyDescent="0.35">
      <c r="B5" s="107" t="s">
        <v>11</v>
      </c>
      <c r="D5" s="179">
        <f t="shared" ref="D5:P5" ca="1" si="0">D21-D41-D64</f>
        <v>4000</v>
      </c>
      <c r="E5" s="179">
        <f t="shared" ca="1" si="0"/>
        <v>16000</v>
      </c>
      <c r="F5" s="179">
        <f t="shared" ca="1" si="0"/>
        <v>19000</v>
      </c>
      <c r="G5" s="179">
        <f t="shared" ca="1" si="0"/>
        <v>34000</v>
      </c>
      <c r="H5" s="179">
        <f t="shared" ca="1" si="0"/>
        <v>-6000</v>
      </c>
      <c r="I5" s="179">
        <f t="shared" ca="1" si="0"/>
        <v>24000</v>
      </c>
      <c r="J5" s="179">
        <f t="shared" ca="1" si="0"/>
        <v>24000</v>
      </c>
      <c r="K5" s="179">
        <f t="shared" ca="1" si="0"/>
        <v>24000</v>
      </c>
      <c r="L5" s="179">
        <f t="shared" ca="1" si="0"/>
        <v>-1000</v>
      </c>
      <c r="M5" s="179">
        <f t="shared" ca="1" si="0"/>
        <v>29000</v>
      </c>
      <c r="N5" s="179">
        <f t="shared" ca="1" si="0"/>
        <v>13700</v>
      </c>
      <c r="O5" s="179">
        <f t="shared" ca="1" si="0"/>
        <v>28700</v>
      </c>
      <c r="P5" s="126">
        <f t="shared" ca="1" si="0"/>
        <v>209400</v>
      </c>
      <c r="R5" s="179">
        <f t="shared" ref="R5:AD5" ca="1" si="1">R21-R41-R64</f>
        <v>0</v>
      </c>
      <c r="S5" s="179">
        <f t="shared" ca="1" si="1"/>
        <v>0</v>
      </c>
      <c r="T5" s="179">
        <f t="shared" ca="1" si="1"/>
        <v>0</v>
      </c>
      <c r="U5" s="179">
        <f t="shared" ca="1" si="1"/>
        <v>0</v>
      </c>
      <c r="V5" s="179">
        <f t="shared" ca="1" si="1"/>
        <v>0</v>
      </c>
      <c r="W5" s="179">
        <f t="shared" ca="1" si="1"/>
        <v>0</v>
      </c>
      <c r="X5" s="179">
        <f t="shared" ca="1" si="1"/>
        <v>0</v>
      </c>
      <c r="Y5" s="179">
        <f t="shared" ca="1" si="1"/>
        <v>0</v>
      </c>
      <c r="Z5" s="179">
        <f t="shared" ca="1" si="1"/>
        <v>0</v>
      </c>
      <c r="AA5" s="179">
        <f t="shared" ca="1" si="1"/>
        <v>0</v>
      </c>
      <c r="AB5" s="179">
        <f t="shared" ca="1" si="1"/>
        <v>0</v>
      </c>
      <c r="AC5" s="179">
        <f t="shared" ca="1" si="1"/>
        <v>0</v>
      </c>
      <c r="AD5" s="126">
        <f t="shared" ca="1" si="1"/>
        <v>0</v>
      </c>
      <c r="AF5" s="179">
        <f t="shared" ref="AF5:AR5" ca="1" si="2">AF21-AF41-AF64</f>
        <v>0</v>
      </c>
      <c r="AG5" s="179">
        <f t="shared" ca="1" si="2"/>
        <v>0</v>
      </c>
      <c r="AH5" s="179">
        <f t="shared" ca="1" si="2"/>
        <v>0</v>
      </c>
      <c r="AI5" s="179">
        <f t="shared" ca="1" si="2"/>
        <v>0</v>
      </c>
      <c r="AJ5" s="179">
        <f t="shared" ca="1" si="2"/>
        <v>0</v>
      </c>
      <c r="AK5" s="179">
        <f t="shared" ca="1" si="2"/>
        <v>0</v>
      </c>
      <c r="AL5" s="179">
        <f t="shared" ca="1" si="2"/>
        <v>0</v>
      </c>
      <c r="AM5" s="179">
        <f t="shared" ca="1" si="2"/>
        <v>0</v>
      </c>
      <c r="AN5" s="179">
        <f t="shared" ca="1" si="2"/>
        <v>0</v>
      </c>
      <c r="AO5" s="179">
        <f t="shared" ca="1" si="2"/>
        <v>0</v>
      </c>
      <c r="AP5" s="179">
        <f t="shared" ca="1" si="2"/>
        <v>0</v>
      </c>
      <c r="AQ5" s="179">
        <f t="shared" ca="1" si="2"/>
        <v>0</v>
      </c>
      <c r="AR5" s="126">
        <f t="shared" ca="1" si="2"/>
        <v>0</v>
      </c>
      <c r="AT5" s="179">
        <f t="shared" ref="AT5:BF5" ca="1" si="3">AT21-AT41-AT64</f>
        <v>0</v>
      </c>
      <c r="AU5" s="179">
        <f t="shared" ca="1" si="3"/>
        <v>0</v>
      </c>
      <c r="AV5" s="179">
        <f t="shared" ca="1" si="3"/>
        <v>0</v>
      </c>
      <c r="AW5" s="179">
        <f t="shared" ca="1" si="3"/>
        <v>0</v>
      </c>
      <c r="AX5" s="179">
        <f t="shared" ca="1" si="3"/>
        <v>0</v>
      </c>
      <c r="AY5" s="179">
        <f t="shared" ca="1" si="3"/>
        <v>0</v>
      </c>
      <c r="AZ5" s="179">
        <f t="shared" ca="1" si="3"/>
        <v>0</v>
      </c>
      <c r="BA5" s="179">
        <f t="shared" ca="1" si="3"/>
        <v>0</v>
      </c>
      <c r="BB5" s="179">
        <f t="shared" ca="1" si="3"/>
        <v>0</v>
      </c>
      <c r="BC5" s="179">
        <f t="shared" ca="1" si="3"/>
        <v>0</v>
      </c>
      <c r="BD5" s="179">
        <f t="shared" ca="1" si="3"/>
        <v>0</v>
      </c>
      <c r="BE5" s="179">
        <f t="shared" ca="1" si="3"/>
        <v>0</v>
      </c>
      <c r="BF5" s="126">
        <f t="shared" ca="1" si="3"/>
        <v>0</v>
      </c>
      <c r="BH5" s="179">
        <f t="shared" ref="BH5:BT5" ca="1" si="4">BH21-BH41-BH64</f>
        <v>0</v>
      </c>
      <c r="BI5" s="179">
        <f t="shared" ca="1" si="4"/>
        <v>0</v>
      </c>
      <c r="BJ5" s="179">
        <f t="shared" ca="1" si="4"/>
        <v>0</v>
      </c>
      <c r="BK5" s="179">
        <f t="shared" ca="1" si="4"/>
        <v>0</v>
      </c>
      <c r="BL5" s="179">
        <f t="shared" ca="1" si="4"/>
        <v>0</v>
      </c>
      <c r="BM5" s="179">
        <f t="shared" ca="1" si="4"/>
        <v>0</v>
      </c>
      <c r="BN5" s="179">
        <f t="shared" ca="1" si="4"/>
        <v>0</v>
      </c>
      <c r="BO5" s="179">
        <f t="shared" ca="1" si="4"/>
        <v>0</v>
      </c>
      <c r="BP5" s="179">
        <f t="shared" ca="1" si="4"/>
        <v>0</v>
      </c>
      <c r="BQ5" s="179">
        <f t="shared" ca="1" si="4"/>
        <v>0</v>
      </c>
      <c r="BR5" s="179">
        <f t="shared" ca="1" si="4"/>
        <v>0</v>
      </c>
      <c r="BS5" s="179">
        <f t="shared" ca="1" si="4"/>
        <v>0</v>
      </c>
      <c r="BT5" s="126">
        <f t="shared" ca="1" si="4"/>
        <v>0</v>
      </c>
      <c r="BV5" s="179">
        <f t="shared" ref="BV5:CH5" ca="1" si="5">BV21-BV41-BV64</f>
        <v>0</v>
      </c>
      <c r="BW5" s="179">
        <f t="shared" ca="1" si="5"/>
        <v>0</v>
      </c>
      <c r="BX5" s="179">
        <f t="shared" ca="1" si="5"/>
        <v>0</v>
      </c>
      <c r="BY5" s="179">
        <f t="shared" ca="1" si="5"/>
        <v>0</v>
      </c>
      <c r="BZ5" s="179">
        <f t="shared" ca="1" si="5"/>
        <v>0</v>
      </c>
      <c r="CA5" s="179">
        <f t="shared" ca="1" si="5"/>
        <v>0</v>
      </c>
      <c r="CB5" s="179">
        <f t="shared" ca="1" si="5"/>
        <v>0</v>
      </c>
      <c r="CC5" s="179">
        <f t="shared" ca="1" si="5"/>
        <v>0</v>
      </c>
      <c r="CD5" s="179">
        <f t="shared" ca="1" si="5"/>
        <v>0</v>
      </c>
      <c r="CE5" s="179">
        <f t="shared" ca="1" si="5"/>
        <v>0</v>
      </c>
      <c r="CF5" s="179">
        <f t="shared" ca="1" si="5"/>
        <v>0</v>
      </c>
      <c r="CG5" s="179">
        <f t="shared" ca="1" si="5"/>
        <v>0</v>
      </c>
      <c r="CH5" s="126">
        <f t="shared" ca="1" si="5"/>
        <v>0</v>
      </c>
      <c r="CJ5" s="179">
        <f t="shared" ref="CJ5:CV5" ca="1" si="6">CJ21-CJ41-CJ64</f>
        <v>0</v>
      </c>
      <c r="CK5" s="179">
        <f t="shared" ca="1" si="6"/>
        <v>0</v>
      </c>
      <c r="CL5" s="179">
        <f t="shared" ca="1" si="6"/>
        <v>0</v>
      </c>
      <c r="CM5" s="179">
        <f t="shared" ca="1" si="6"/>
        <v>0</v>
      </c>
      <c r="CN5" s="179">
        <f t="shared" ca="1" si="6"/>
        <v>0</v>
      </c>
      <c r="CO5" s="179">
        <f t="shared" ca="1" si="6"/>
        <v>0</v>
      </c>
      <c r="CP5" s="179">
        <f t="shared" ca="1" si="6"/>
        <v>0</v>
      </c>
      <c r="CQ5" s="179">
        <f t="shared" ca="1" si="6"/>
        <v>0</v>
      </c>
      <c r="CR5" s="179">
        <f t="shared" ca="1" si="6"/>
        <v>0</v>
      </c>
      <c r="CS5" s="179">
        <f t="shared" ca="1" si="6"/>
        <v>0</v>
      </c>
      <c r="CT5" s="179">
        <f t="shared" ca="1" si="6"/>
        <v>0</v>
      </c>
      <c r="CU5" s="179">
        <f t="shared" ca="1" si="6"/>
        <v>0</v>
      </c>
      <c r="CV5" s="126">
        <f t="shared" ca="1" si="6"/>
        <v>0</v>
      </c>
      <c r="CX5" s="179">
        <f t="shared" ref="CX5:DJ5" ca="1" si="7">CX21-CX41-CX64</f>
        <v>0</v>
      </c>
      <c r="CY5" s="179">
        <f t="shared" ca="1" si="7"/>
        <v>0</v>
      </c>
      <c r="CZ5" s="179">
        <f t="shared" ca="1" si="7"/>
        <v>0</v>
      </c>
      <c r="DA5" s="179">
        <f t="shared" ca="1" si="7"/>
        <v>0</v>
      </c>
      <c r="DB5" s="179">
        <f t="shared" ca="1" si="7"/>
        <v>0</v>
      </c>
      <c r="DC5" s="179">
        <f t="shared" ca="1" si="7"/>
        <v>0</v>
      </c>
      <c r="DD5" s="179">
        <f t="shared" ca="1" si="7"/>
        <v>0</v>
      </c>
      <c r="DE5" s="179">
        <f t="shared" ca="1" si="7"/>
        <v>0</v>
      </c>
      <c r="DF5" s="179">
        <f t="shared" ca="1" si="7"/>
        <v>0</v>
      </c>
      <c r="DG5" s="179">
        <f t="shared" ca="1" si="7"/>
        <v>0</v>
      </c>
      <c r="DH5" s="179">
        <f t="shared" ca="1" si="7"/>
        <v>0</v>
      </c>
      <c r="DI5" s="179">
        <f t="shared" ca="1" si="7"/>
        <v>0</v>
      </c>
      <c r="DJ5" s="126">
        <f t="shared" ca="1" si="7"/>
        <v>0</v>
      </c>
      <c r="DL5" s="179">
        <f t="shared" ref="DL5:DX5" ca="1" si="8">DL21-DL41-DL64</f>
        <v>0</v>
      </c>
      <c r="DM5" s="179">
        <f t="shared" ca="1" si="8"/>
        <v>0</v>
      </c>
      <c r="DN5" s="179">
        <f t="shared" ca="1" si="8"/>
        <v>0</v>
      </c>
      <c r="DO5" s="179">
        <f t="shared" ca="1" si="8"/>
        <v>0</v>
      </c>
      <c r="DP5" s="179">
        <f t="shared" ca="1" si="8"/>
        <v>0</v>
      </c>
      <c r="DQ5" s="179">
        <f t="shared" ca="1" si="8"/>
        <v>0</v>
      </c>
      <c r="DR5" s="179">
        <f t="shared" ca="1" si="8"/>
        <v>0</v>
      </c>
      <c r="DS5" s="179">
        <f t="shared" ca="1" si="8"/>
        <v>0</v>
      </c>
      <c r="DT5" s="179">
        <f t="shared" ca="1" si="8"/>
        <v>0</v>
      </c>
      <c r="DU5" s="179">
        <f t="shared" ca="1" si="8"/>
        <v>0</v>
      </c>
      <c r="DV5" s="179">
        <f t="shared" ca="1" si="8"/>
        <v>0</v>
      </c>
      <c r="DW5" s="179">
        <f t="shared" ca="1" si="8"/>
        <v>0</v>
      </c>
      <c r="DX5" s="126">
        <f t="shared" ca="1" si="8"/>
        <v>0</v>
      </c>
      <c r="DZ5" s="179">
        <f t="shared" ref="DZ5:EL5" ca="1" si="9">DZ21-DZ41-DZ64</f>
        <v>0</v>
      </c>
      <c r="EA5" s="179">
        <f t="shared" ca="1" si="9"/>
        <v>0</v>
      </c>
      <c r="EB5" s="179">
        <f t="shared" ca="1" si="9"/>
        <v>0</v>
      </c>
      <c r="EC5" s="179">
        <f t="shared" ca="1" si="9"/>
        <v>0</v>
      </c>
      <c r="ED5" s="179">
        <f t="shared" ca="1" si="9"/>
        <v>0</v>
      </c>
      <c r="EE5" s="179">
        <f t="shared" ca="1" si="9"/>
        <v>0</v>
      </c>
      <c r="EF5" s="179">
        <f t="shared" ca="1" si="9"/>
        <v>0</v>
      </c>
      <c r="EG5" s="179">
        <f t="shared" ca="1" si="9"/>
        <v>0</v>
      </c>
      <c r="EH5" s="179">
        <f t="shared" ca="1" si="9"/>
        <v>0</v>
      </c>
      <c r="EI5" s="179">
        <f t="shared" ca="1" si="9"/>
        <v>0</v>
      </c>
      <c r="EJ5" s="179">
        <f t="shared" ca="1" si="9"/>
        <v>0</v>
      </c>
      <c r="EK5" s="179">
        <f t="shared" ca="1" si="9"/>
        <v>0</v>
      </c>
      <c r="EL5" s="126">
        <f t="shared" ca="1" si="9"/>
        <v>0</v>
      </c>
      <c r="EN5" s="179">
        <f t="shared" ref="EN5:EZ5" ca="1" si="10">EN21-EN41-EN64</f>
        <v>0</v>
      </c>
      <c r="EO5" s="179">
        <f t="shared" ca="1" si="10"/>
        <v>0</v>
      </c>
      <c r="EP5" s="179">
        <f t="shared" ca="1" si="10"/>
        <v>0</v>
      </c>
      <c r="EQ5" s="179">
        <f t="shared" ca="1" si="10"/>
        <v>0</v>
      </c>
      <c r="ER5" s="179">
        <f t="shared" ca="1" si="10"/>
        <v>0</v>
      </c>
      <c r="ES5" s="179">
        <f t="shared" ca="1" si="10"/>
        <v>0</v>
      </c>
      <c r="ET5" s="179">
        <f t="shared" ca="1" si="10"/>
        <v>0</v>
      </c>
      <c r="EU5" s="179">
        <f t="shared" ca="1" si="10"/>
        <v>0</v>
      </c>
      <c r="EV5" s="179">
        <f t="shared" ca="1" si="10"/>
        <v>0</v>
      </c>
      <c r="EW5" s="179">
        <f t="shared" ca="1" si="10"/>
        <v>0</v>
      </c>
      <c r="EX5" s="179">
        <f t="shared" ca="1" si="10"/>
        <v>0</v>
      </c>
      <c r="EY5" s="179">
        <f t="shared" ca="1" si="10"/>
        <v>0</v>
      </c>
      <c r="EZ5" s="126">
        <f t="shared" ca="1" si="10"/>
        <v>0</v>
      </c>
      <c r="FB5" s="179">
        <f t="shared" ref="FB5:FN5" ca="1" si="11">FB21-FB41-FB64</f>
        <v>0</v>
      </c>
      <c r="FC5" s="179">
        <f t="shared" ca="1" si="11"/>
        <v>0</v>
      </c>
      <c r="FD5" s="179">
        <f t="shared" ca="1" si="11"/>
        <v>0</v>
      </c>
      <c r="FE5" s="179">
        <f t="shared" ca="1" si="11"/>
        <v>0</v>
      </c>
      <c r="FF5" s="179">
        <f t="shared" ca="1" si="11"/>
        <v>0</v>
      </c>
      <c r="FG5" s="179">
        <f t="shared" ca="1" si="11"/>
        <v>0</v>
      </c>
      <c r="FH5" s="179">
        <f t="shared" ca="1" si="11"/>
        <v>0</v>
      </c>
      <c r="FI5" s="179">
        <f t="shared" ca="1" si="11"/>
        <v>0</v>
      </c>
      <c r="FJ5" s="179">
        <f t="shared" ca="1" si="11"/>
        <v>0</v>
      </c>
      <c r="FK5" s="179">
        <f t="shared" ca="1" si="11"/>
        <v>0</v>
      </c>
      <c r="FL5" s="179">
        <f t="shared" ca="1" si="11"/>
        <v>0</v>
      </c>
      <c r="FM5" s="179">
        <f t="shared" ca="1" si="11"/>
        <v>0</v>
      </c>
      <c r="FN5" s="126">
        <f t="shared" ca="1" si="11"/>
        <v>0</v>
      </c>
      <c r="FP5" s="179">
        <f t="shared" ref="FP5:GB5" ca="1" si="12">FP21-FP41-FP64</f>
        <v>0</v>
      </c>
      <c r="FQ5" s="179">
        <f t="shared" ca="1" si="12"/>
        <v>0</v>
      </c>
      <c r="FR5" s="179">
        <f t="shared" ca="1" si="12"/>
        <v>0</v>
      </c>
      <c r="FS5" s="179">
        <f t="shared" ca="1" si="12"/>
        <v>0</v>
      </c>
      <c r="FT5" s="179">
        <f t="shared" ca="1" si="12"/>
        <v>0</v>
      </c>
      <c r="FU5" s="179">
        <f t="shared" ca="1" si="12"/>
        <v>0</v>
      </c>
      <c r="FV5" s="179">
        <f t="shared" ca="1" si="12"/>
        <v>0</v>
      </c>
      <c r="FW5" s="179">
        <f t="shared" ca="1" si="12"/>
        <v>0</v>
      </c>
      <c r="FX5" s="179">
        <f t="shared" ca="1" si="12"/>
        <v>0</v>
      </c>
      <c r="FY5" s="179">
        <f t="shared" ca="1" si="12"/>
        <v>0</v>
      </c>
      <c r="FZ5" s="179">
        <f t="shared" ca="1" si="12"/>
        <v>0</v>
      </c>
      <c r="GA5" s="179">
        <f t="shared" ca="1" si="12"/>
        <v>0</v>
      </c>
      <c r="GB5" s="126">
        <f t="shared" ca="1" si="12"/>
        <v>0</v>
      </c>
    </row>
    <row r="6" spans="2:184" x14ac:dyDescent="0.3">
      <c r="Q6" s="5"/>
      <c r="AE6" s="5"/>
      <c r="AS6" s="5"/>
      <c r="BG6" s="5"/>
      <c r="BU6" s="5"/>
      <c r="CI6" s="5"/>
      <c r="CW6" s="5"/>
      <c r="DK6" s="5"/>
      <c r="DY6" s="5"/>
      <c r="EM6" s="5"/>
      <c r="FA6" s="5"/>
      <c r="FO6" s="5"/>
    </row>
    <row r="7" spans="2:184" x14ac:dyDescent="0.3">
      <c r="B7" s="122" t="s">
        <v>12</v>
      </c>
      <c r="D7" s="123">
        <f>DATE(D$3,1,1)</f>
        <v>45292</v>
      </c>
      <c r="E7" s="123">
        <f>DATE(D$3,2,1)</f>
        <v>45323</v>
      </c>
      <c r="F7" s="123">
        <f>DATE(D$3,3,1)</f>
        <v>45352</v>
      </c>
      <c r="G7" s="123">
        <f>DATE(D$3,4,1)</f>
        <v>45383</v>
      </c>
      <c r="H7" s="123">
        <f>DATE(D$3,5,1)</f>
        <v>45413</v>
      </c>
      <c r="I7" s="123">
        <f>DATE(D$3,6,1)</f>
        <v>45444</v>
      </c>
      <c r="J7" s="123">
        <f>DATE(D$3,7,1)</f>
        <v>45474</v>
      </c>
      <c r="K7" s="123">
        <f>DATE(D$3,8,1)</f>
        <v>45505</v>
      </c>
      <c r="L7" s="123">
        <f>DATE(D$3,9,1)</f>
        <v>45536</v>
      </c>
      <c r="M7" s="123">
        <f>DATE(D$3,10,1)</f>
        <v>45566</v>
      </c>
      <c r="N7" s="123">
        <f>DATE(D$3,11,1)</f>
        <v>45597</v>
      </c>
      <c r="O7" s="123">
        <f>DATE(D$3,12,1)</f>
        <v>45627</v>
      </c>
      <c r="P7" s="124">
        <f>D3</f>
        <v>2024</v>
      </c>
      <c r="R7" s="123">
        <f>DATE(R$3,1,1)</f>
        <v>45658</v>
      </c>
      <c r="S7" s="123">
        <f>DATE(R$3,2,1)</f>
        <v>45689</v>
      </c>
      <c r="T7" s="123">
        <f>DATE(R$3,3,1)</f>
        <v>45717</v>
      </c>
      <c r="U7" s="123">
        <f>DATE(R$3,4,1)</f>
        <v>45748</v>
      </c>
      <c r="V7" s="123">
        <f>DATE(R$3,5,1)</f>
        <v>45778</v>
      </c>
      <c r="W7" s="123">
        <f>DATE(R$3,6,1)</f>
        <v>45809</v>
      </c>
      <c r="X7" s="123">
        <f>DATE(R$3,7,1)</f>
        <v>45839</v>
      </c>
      <c r="Y7" s="123">
        <f>DATE(R$3,8,1)</f>
        <v>45870</v>
      </c>
      <c r="Z7" s="123">
        <f>DATE(R$3,9,1)</f>
        <v>45901</v>
      </c>
      <c r="AA7" s="123">
        <f>DATE(R$3,10,1)</f>
        <v>45931</v>
      </c>
      <c r="AB7" s="123">
        <f>DATE(R$3,11,1)</f>
        <v>45962</v>
      </c>
      <c r="AC7" s="123">
        <f>DATE(R$3,12,1)</f>
        <v>45992</v>
      </c>
      <c r="AD7" s="124">
        <f>R3</f>
        <v>2025</v>
      </c>
      <c r="AF7" s="123">
        <f>DATE(AF$3,1,1)</f>
        <v>46023</v>
      </c>
      <c r="AG7" s="123">
        <f>DATE(AF$3,2,1)</f>
        <v>46054</v>
      </c>
      <c r="AH7" s="123">
        <f>DATE(AF$3,3,1)</f>
        <v>46082</v>
      </c>
      <c r="AI7" s="123">
        <f>DATE(AF$3,4,1)</f>
        <v>46113</v>
      </c>
      <c r="AJ7" s="123">
        <f>DATE(AF$3,5,1)</f>
        <v>46143</v>
      </c>
      <c r="AK7" s="123">
        <f>DATE(AF$3,6,1)</f>
        <v>46174</v>
      </c>
      <c r="AL7" s="123">
        <f>DATE(AF$3,7,1)</f>
        <v>46204</v>
      </c>
      <c r="AM7" s="123">
        <f>DATE(AF$3,8,1)</f>
        <v>46235</v>
      </c>
      <c r="AN7" s="123">
        <f>DATE(AF$3,9,1)</f>
        <v>46266</v>
      </c>
      <c r="AO7" s="123">
        <f>DATE(AF$3,10,1)</f>
        <v>46296</v>
      </c>
      <c r="AP7" s="123">
        <f>DATE(AF$3,11,1)</f>
        <v>46327</v>
      </c>
      <c r="AQ7" s="123">
        <f>DATE(AF$3,12,1)</f>
        <v>46357</v>
      </c>
      <c r="AR7" s="124">
        <f>AF3</f>
        <v>2026</v>
      </c>
      <c r="AT7" s="123">
        <f>DATE(AT$3,1,1)</f>
        <v>46388</v>
      </c>
      <c r="AU7" s="123">
        <f>DATE(AT$3,2,1)</f>
        <v>46419</v>
      </c>
      <c r="AV7" s="123">
        <f>DATE(AT$3,3,1)</f>
        <v>46447</v>
      </c>
      <c r="AW7" s="123">
        <f>DATE(AT$3,4,1)</f>
        <v>46478</v>
      </c>
      <c r="AX7" s="123">
        <f>DATE(AT$3,5,1)</f>
        <v>46508</v>
      </c>
      <c r="AY7" s="123">
        <f>DATE(AT$3,6,1)</f>
        <v>46539</v>
      </c>
      <c r="AZ7" s="123">
        <f>DATE(AT$3,7,1)</f>
        <v>46569</v>
      </c>
      <c r="BA7" s="123">
        <f>DATE(AT$3,8,1)</f>
        <v>46600</v>
      </c>
      <c r="BB7" s="123">
        <f>DATE(AT$3,9,1)</f>
        <v>46631</v>
      </c>
      <c r="BC7" s="123">
        <f>DATE(AT$3,10,1)</f>
        <v>46661</v>
      </c>
      <c r="BD7" s="123">
        <f>DATE(AT$3,11,1)</f>
        <v>46692</v>
      </c>
      <c r="BE7" s="123">
        <f>DATE(AT$3,12,1)</f>
        <v>46722</v>
      </c>
      <c r="BF7" s="124">
        <f>AT3</f>
        <v>2027</v>
      </c>
      <c r="BH7" s="123">
        <f>DATE(BH$3,1,1)</f>
        <v>46753</v>
      </c>
      <c r="BI7" s="123">
        <f>DATE(BH$3,2,1)</f>
        <v>46784</v>
      </c>
      <c r="BJ7" s="123">
        <f>DATE(BH$3,3,1)</f>
        <v>46813</v>
      </c>
      <c r="BK7" s="123">
        <f>DATE(BH$3,4,1)</f>
        <v>46844</v>
      </c>
      <c r="BL7" s="123">
        <f>DATE(BH$3,5,1)</f>
        <v>46874</v>
      </c>
      <c r="BM7" s="123">
        <f>DATE(BH$3,6,1)</f>
        <v>46905</v>
      </c>
      <c r="BN7" s="123">
        <f>DATE(BH$3,7,1)</f>
        <v>46935</v>
      </c>
      <c r="BO7" s="123">
        <f>DATE(BH$3,8,1)</f>
        <v>46966</v>
      </c>
      <c r="BP7" s="123">
        <f>DATE(BH$3,9,1)</f>
        <v>46997</v>
      </c>
      <c r="BQ7" s="123">
        <f>DATE(BH$3,10,1)</f>
        <v>47027</v>
      </c>
      <c r="BR7" s="123">
        <f>DATE(BH$3,11,1)</f>
        <v>47058</v>
      </c>
      <c r="BS7" s="123">
        <f>DATE(BH$3,12,1)</f>
        <v>47088</v>
      </c>
      <c r="BT7" s="124">
        <f>BH3</f>
        <v>2028</v>
      </c>
      <c r="BV7" s="123">
        <f>DATE(BV$3,1,1)</f>
        <v>47119</v>
      </c>
      <c r="BW7" s="123">
        <f>DATE(BV$3,2,1)</f>
        <v>47150</v>
      </c>
      <c r="BX7" s="123">
        <f>DATE(BV$3,3,1)</f>
        <v>47178</v>
      </c>
      <c r="BY7" s="123">
        <f>DATE(BV$3,4,1)</f>
        <v>47209</v>
      </c>
      <c r="BZ7" s="123">
        <f>DATE(BV$3,5,1)</f>
        <v>47239</v>
      </c>
      <c r="CA7" s="123">
        <f>DATE(BV$3,6,1)</f>
        <v>47270</v>
      </c>
      <c r="CB7" s="123">
        <f>DATE(BV$3,7,1)</f>
        <v>47300</v>
      </c>
      <c r="CC7" s="123">
        <f>DATE(BV$3,8,1)</f>
        <v>47331</v>
      </c>
      <c r="CD7" s="123">
        <f>DATE(BV$3,9,1)</f>
        <v>47362</v>
      </c>
      <c r="CE7" s="123">
        <f>DATE(BV$3,10,1)</f>
        <v>47392</v>
      </c>
      <c r="CF7" s="123">
        <f>DATE(BV$3,11,1)</f>
        <v>47423</v>
      </c>
      <c r="CG7" s="123">
        <f>DATE(BV$3,12,1)</f>
        <v>47453</v>
      </c>
      <c r="CH7" s="124">
        <f>BV3</f>
        <v>2029</v>
      </c>
      <c r="CJ7" s="123">
        <f>DATE(CJ$3,1,1)</f>
        <v>47484</v>
      </c>
      <c r="CK7" s="123">
        <f>DATE(CJ$3,2,1)</f>
        <v>47515</v>
      </c>
      <c r="CL7" s="123">
        <f>DATE(CJ$3,3,1)</f>
        <v>47543</v>
      </c>
      <c r="CM7" s="123">
        <f>DATE(CJ$3,4,1)</f>
        <v>47574</v>
      </c>
      <c r="CN7" s="123">
        <f>DATE(CJ$3,5,1)</f>
        <v>47604</v>
      </c>
      <c r="CO7" s="123">
        <f>DATE(CJ$3,6,1)</f>
        <v>47635</v>
      </c>
      <c r="CP7" s="123">
        <f>DATE(CJ$3,7,1)</f>
        <v>47665</v>
      </c>
      <c r="CQ7" s="123">
        <f>DATE(CJ$3,8,1)</f>
        <v>47696</v>
      </c>
      <c r="CR7" s="123">
        <f>DATE(CJ$3,9,1)</f>
        <v>47727</v>
      </c>
      <c r="CS7" s="123">
        <f>DATE(CJ$3,10,1)</f>
        <v>47757</v>
      </c>
      <c r="CT7" s="123">
        <f>DATE(CJ$3,11,1)</f>
        <v>47788</v>
      </c>
      <c r="CU7" s="123">
        <f>DATE(CJ$3,12,1)</f>
        <v>47818</v>
      </c>
      <c r="CV7" s="124">
        <f>CJ3</f>
        <v>2030</v>
      </c>
      <c r="CX7" s="123">
        <f>DATE(CX$3,1,1)</f>
        <v>47849</v>
      </c>
      <c r="CY7" s="123">
        <f>DATE(CX$3,2,1)</f>
        <v>47880</v>
      </c>
      <c r="CZ7" s="123">
        <f>DATE(CX$3,3,1)</f>
        <v>47908</v>
      </c>
      <c r="DA7" s="123">
        <f>DATE(CX$3,4,1)</f>
        <v>47939</v>
      </c>
      <c r="DB7" s="123">
        <f>DATE(CX$3,5,1)</f>
        <v>47969</v>
      </c>
      <c r="DC7" s="123">
        <f>DATE(CX$3,6,1)</f>
        <v>48000</v>
      </c>
      <c r="DD7" s="123">
        <f>DATE(CX$3,7,1)</f>
        <v>48030</v>
      </c>
      <c r="DE7" s="123">
        <f>DATE(CX$3,8,1)</f>
        <v>48061</v>
      </c>
      <c r="DF7" s="123">
        <f>DATE(CX$3,9,1)</f>
        <v>48092</v>
      </c>
      <c r="DG7" s="123">
        <f>DATE(CX$3,10,1)</f>
        <v>48122</v>
      </c>
      <c r="DH7" s="123">
        <f>DATE(CX$3,11,1)</f>
        <v>48153</v>
      </c>
      <c r="DI7" s="123">
        <f>DATE(CX$3,12,1)</f>
        <v>48183</v>
      </c>
      <c r="DJ7" s="124">
        <f>CX3</f>
        <v>2031</v>
      </c>
      <c r="DL7" s="123">
        <f>DATE(DL$3,1,1)</f>
        <v>48214</v>
      </c>
      <c r="DM7" s="123">
        <f>DATE(DL$3,2,1)</f>
        <v>48245</v>
      </c>
      <c r="DN7" s="123">
        <f>DATE(DL$3,3,1)</f>
        <v>48274</v>
      </c>
      <c r="DO7" s="123">
        <f>DATE(DL$3,4,1)</f>
        <v>48305</v>
      </c>
      <c r="DP7" s="123">
        <f>DATE(DL$3,5,1)</f>
        <v>48335</v>
      </c>
      <c r="DQ7" s="123">
        <f>DATE(DL$3,6,1)</f>
        <v>48366</v>
      </c>
      <c r="DR7" s="123">
        <f>DATE(DL$3,7,1)</f>
        <v>48396</v>
      </c>
      <c r="DS7" s="123">
        <f>DATE(DL$3,8,1)</f>
        <v>48427</v>
      </c>
      <c r="DT7" s="123">
        <f>DATE(DL$3,9,1)</f>
        <v>48458</v>
      </c>
      <c r="DU7" s="123">
        <f>DATE(DL$3,10,1)</f>
        <v>48488</v>
      </c>
      <c r="DV7" s="123">
        <f>DATE(DL$3,11,1)</f>
        <v>48519</v>
      </c>
      <c r="DW7" s="123">
        <f>DATE(DL$3,12,1)</f>
        <v>48549</v>
      </c>
      <c r="DX7" s="124">
        <f>DL3</f>
        <v>2032</v>
      </c>
      <c r="DZ7" s="123">
        <f>DATE(DZ$3,1,1)</f>
        <v>48580</v>
      </c>
      <c r="EA7" s="123">
        <f>DATE(DZ$3,2,1)</f>
        <v>48611</v>
      </c>
      <c r="EB7" s="123">
        <f>DATE(DZ$3,3,1)</f>
        <v>48639</v>
      </c>
      <c r="EC7" s="123">
        <f>DATE(DZ$3,4,1)</f>
        <v>48670</v>
      </c>
      <c r="ED7" s="123">
        <f>DATE(DZ$3,5,1)</f>
        <v>48700</v>
      </c>
      <c r="EE7" s="123">
        <f>DATE(DZ$3,6,1)</f>
        <v>48731</v>
      </c>
      <c r="EF7" s="123">
        <f>DATE(DZ$3,7,1)</f>
        <v>48761</v>
      </c>
      <c r="EG7" s="123">
        <f>DATE(DZ$3,8,1)</f>
        <v>48792</v>
      </c>
      <c r="EH7" s="123">
        <f>DATE(DZ$3,9,1)</f>
        <v>48823</v>
      </c>
      <c r="EI7" s="123">
        <f>DATE(DZ$3,10,1)</f>
        <v>48853</v>
      </c>
      <c r="EJ7" s="123">
        <f>DATE(DZ$3,11,1)</f>
        <v>48884</v>
      </c>
      <c r="EK7" s="123">
        <f>DATE(DZ$3,12,1)</f>
        <v>48914</v>
      </c>
      <c r="EL7" s="124">
        <f>DZ3</f>
        <v>2033</v>
      </c>
      <c r="EN7" s="123">
        <f>DATE(EN$3,1,1)</f>
        <v>48945</v>
      </c>
      <c r="EO7" s="123">
        <f>DATE(EN$3,2,1)</f>
        <v>48976</v>
      </c>
      <c r="EP7" s="123">
        <f>DATE(EN$3,3,1)</f>
        <v>49004</v>
      </c>
      <c r="EQ7" s="123">
        <f>DATE(EN$3,4,1)</f>
        <v>49035</v>
      </c>
      <c r="ER7" s="123">
        <f>DATE(EN$3,5,1)</f>
        <v>49065</v>
      </c>
      <c r="ES7" s="123">
        <f>DATE(EN$3,6,1)</f>
        <v>49096</v>
      </c>
      <c r="ET7" s="123">
        <f>DATE(EN$3,7,1)</f>
        <v>49126</v>
      </c>
      <c r="EU7" s="123">
        <f>DATE(EN$3,8,1)</f>
        <v>49157</v>
      </c>
      <c r="EV7" s="123">
        <f>DATE(EN$3,9,1)</f>
        <v>49188</v>
      </c>
      <c r="EW7" s="123">
        <f>DATE(EN$3,10,1)</f>
        <v>49218</v>
      </c>
      <c r="EX7" s="123">
        <f>DATE(EN$3,11,1)</f>
        <v>49249</v>
      </c>
      <c r="EY7" s="123">
        <f>DATE(EN$3,12,1)</f>
        <v>49279</v>
      </c>
      <c r="EZ7" s="124">
        <f>EN3</f>
        <v>2034</v>
      </c>
      <c r="FB7" s="123">
        <f>DATE(FB$3,1,1)</f>
        <v>49310</v>
      </c>
      <c r="FC7" s="123">
        <f>DATE(FB$3,2,1)</f>
        <v>49341</v>
      </c>
      <c r="FD7" s="123">
        <f>DATE(FB$3,3,1)</f>
        <v>49369</v>
      </c>
      <c r="FE7" s="123">
        <f>DATE(FB$3,4,1)</f>
        <v>49400</v>
      </c>
      <c r="FF7" s="123">
        <f>DATE(FB$3,5,1)</f>
        <v>49430</v>
      </c>
      <c r="FG7" s="123">
        <f>DATE(FB$3,6,1)</f>
        <v>49461</v>
      </c>
      <c r="FH7" s="123">
        <f>DATE(FB$3,7,1)</f>
        <v>49491</v>
      </c>
      <c r="FI7" s="123">
        <f>DATE(FB$3,8,1)</f>
        <v>49522</v>
      </c>
      <c r="FJ7" s="123">
        <f>DATE(FB$3,9,1)</f>
        <v>49553</v>
      </c>
      <c r="FK7" s="123">
        <f>DATE(FB$3,10,1)</f>
        <v>49583</v>
      </c>
      <c r="FL7" s="123">
        <f>DATE(FB$3,11,1)</f>
        <v>49614</v>
      </c>
      <c r="FM7" s="123">
        <f>DATE(FB$3,12,1)</f>
        <v>49644</v>
      </c>
      <c r="FN7" s="124">
        <f>FB3</f>
        <v>2035</v>
      </c>
      <c r="FP7" s="123">
        <f>DATE(FP$3,1,1)</f>
        <v>49675</v>
      </c>
      <c r="FQ7" s="123">
        <f>DATE(FP$3,2,1)</f>
        <v>49706</v>
      </c>
      <c r="FR7" s="123">
        <f>DATE(FP$3,3,1)</f>
        <v>49735</v>
      </c>
      <c r="FS7" s="123">
        <f>DATE(FP$3,4,1)</f>
        <v>49766</v>
      </c>
      <c r="FT7" s="123">
        <f>DATE(FP$3,5,1)</f>
        <v>49796</v>
      </c>
      <c r="FU7" s="123">
        <f>DATE(FP$3,6,1)</f>
        <v>49827</v>
      </c>
      <c r="FV7" s="123">
        <f>DATE(FP$3,7,1)</f>
        <v>49857</v>
      </c>
      <c r="FW7" s="123">
        <f>DATE(FP$3,8,1)</f>
        <v>49888</v>
      </c>
      <c r="FX7" s="123">
        <f>DATE(FP$3,9,1)</f>
        <v>49919</v>
      </c>
      <c r="FY7" s="123">
        <f>DATE(FP$3,10,1)</f>
        <v>49949</v>
      </c>
      <c r="FZ7" s="123">
        <f>DATE(FP$3,11,1)</f>
        <v>49980</v>
      </c>
      <c r="GA7" s="123">
        <f>DATE(FP$3,12,1)</f>
        <v>50010</v>
      </c>
      <c r="GB7" s="124">
        <f>FP3</f>
        <v>2036</v>
      </c>
    </row>
    <row r="8" spans="2:184" s="108" customFormat="1" ht="13.8" customHeight="1" x14ac:dyDescent="0.3">
      <c r="B8" s="109" t="s">
        <v>13</v>
      </c>
      <c r="D8" s="110">
        <v>100000</v>
      </c>
      <c r="E8" s="110">
        <v>100000</v>
      </c>
      <c r="F8" s="110">
        <v>100000</v>
      </c>
      <c r="G8" s="110">
        <v>100000</v>
      </c>
      <c r="H8" s="110">
        <v>100000</v>
      </c>
      <c r="I8" s="110">
        <v>100000</v>
      </c>
      <c r="J8" s="110">
        <v>100000</v>
      </c>
      <c r="K8" s="110">
        <v>100000</v>
      </c>
      <c r="L8" s="110">
        <v>100000</v>
      </c>
      <c r="M8" s="110">
        <v>100000</v>
      </c>
      <c r="N8" s="110">
        <v>100000</v>
      </c>
      <c r="O8" s="110">
        <v>100000</v>
      </c>
      <c r="P8" s="110">
        <f>SUM(D8:O8)</f>
        <v>1200000</v>
      </c>
      <c r="R8" s="110"/>
      <c r="S8" s="110"/>
      <c r="T8" s="110"/>
      <c r="U8" s="110"/>
      <c r="V8" s="110"/>
      <c r="W8" s="110"/>
      <c r="X8" s="110"/>
      <c r="Y8" s="110"/>
      <c r="Z8" s="110"/>
      <c r="AA8" s="110"/>
      <c r="AB8" s="110"/>
      <c r="AC8" s="110"/>
      <c r="AD8" s="110">
        <f>SUM(R8:AC8)</f>
        <v>0</v>
      </c>
      <c r="AF8" s="110"/>
      <c r="AG8" s="110"/>
      <c r="AH8" s="110"/>
      <c r="AI8" s="110"/>
      <c r="AJ8" s="110"/>
      <c r="AK8" s="110"/>
      <c r="AL8" s="110"/>
      <c r="AM8" s="110"/>
      <c r="AN8" s="110"/>
      <c r="AO8" s="110"/>
      <c r="AP8" s="110"/>
      <c r="AQ8" s="110"/>
      <c r="AR8" s="110">
        <f>SUM(AF8:AQ8)</f>
        <v>0</v>
      </c>
      <c r="AT8" s="110"/>
      <c r="AU8" s="110"/>
      <c r="AV8" s="110"/>
      <c r="AW8" s="110"/>
      <c r="AX8" s="110"/>
      <c r="AY8" s="110"/>
      <c r="AZ8" s="110"/>
      <c r="BA8" s="110"/>
      <c r="BB8" s="110"/>
      <c r="BC8" s="110"/>
      <c r="BD8" s="110"/>
      <c r="BE8" s="110"/>
      <c r="BF8" s="110">
        <f>SUM(AT8:BE8)</f>
        <v>0</v>
      </c>
      <c r="BH8" s="110"/>
      <c r="BI8" s="110"/>
      <c r="BJ8" s="110"/>
      <c r="BK8" s="110"/>
      <c r="BL8" s="110"/>
      <c r="BM8" s="110"/>
      <c r="BN8" s="110"/>
      <c r="BO8" s="110"/>
      <c r="BP8" s="110"/>
      <c r="BQ8" s="110"/>
      <c r="BR8" s="110"/>
      <c r="BS8" s="110"/>
      <c r="BT8" s="110">
        <f>SUM(BH8:BS8)</f>
        <v>0</v>
      </c>
      <c r="BV8" s="110"/>
      <c r="BW8" s="110"/>
      <c r="BX8" s="110"/>
      <c r="BY8" s="110"/>
      <c r="BZ8" s="110"/>
      <c r="CA8" s="110"/>
      <c r="CB8" s="110"/>
      <c r="CC8" s="110"/>
      <c r="CD8" s="110"/>
      <c r="CE8" s="110"/>
      <c r="CF8" s="110"/>
      <c r="CG8" s="110"/>
      <c r="CH8" s="110">
        <f>SUM(BV8:CG8)</f>
        <v>0</v>
      </c>
      <c r="CJ8" s="110"/>
      <c r="CK8" s="110"/>
      <c r="CL8" s="110"/>
      <c r="CM8" s="110"/>
      <c r="CN8" s="110"/>
      <c r="CO8" s="110"/>
      <c r="CP8" s="110"/>
      <c r="CQ8" s="110"/>
      <c r="CR8" s="110"/>
      <c r="CS8" s="110"/>
      <c r="CT8" s="110"/>
      <c r="CU8" s="110"/>
      <c r="CV8" s="110">
        <f>SUM(CJ8:CU8)</f>
        <v>0</v>
      </c>
      <c r="CX8" s="110"/>
      <c r="CY8" s="110"/>
      <c r="CZ8" s="110"/>
      <c r="DA8" s="110"/>
      <c r="DB8" s="110"/>
      <c r="DC8" s="110"/>
      <c r="DD8" s="110"/>
      <c r="DE8" s="110"/>
      <c r="DF8" s="110"/>
      <c r="DG8" s="110"/>
      <c r="DH8" s="110"/>
      <c r="DI8" s="110"/>
      <c r="DJ8" s="110">
        <f>SUM(CX8:DI8)</f>
        <v>0</v>
      </c>
      <c r="DL8" s="110"/>
      <c r="DM8" s="110"/>
      <c r="DN8" s="110"/>
      <c r="DO8" s="110"/>
      <c r="DP8" s="110"/>
      <c r="DQ8" s="110"/>
      <c r="DR8" s="110"/>
      <c r="DS8" s="110"/>
      <c r="DT8" s="110"/>
      <c r="DU8" s="110"/>
      <c r="DV8" s="110"/>
      <c r="DW8" s="110"/>
      <c r="DX8" s="110">
        <f>SUM(DL8:DW8)</f>
        <v>0</v>
      </c>
      <c r="DZ8" s="110"/>
      <c r="EA8" s="110"/>
      <c r="EB8" s="110"/>
      <c r="EC8" s="110"/>
      <c r="ED8" s="110"/>
      <c r="EE8" s="110"/>
      <c r="EF8" s="110"/>
      <c r="EG8" s="110"/>
      <c r="EH8" s="110"/>
      <c r="EI8" s="110"/>
      <c r="EJ8" s="110"/>
      <c r="EK8" s="110"/>
      <c r="EL8" s="110">
        <f>SUM(DZ8:EK8)</f>
        <v>0</v>
      </c>
      <c r="EN8" s="110"/>
      <c r="EO8" s="110"/>
      <c r="EP8" s="110"/>
      <c r="EQ8" s="110"/>
      <c r="ER8" s="110"/>
      <c r="ES8" s="110"/>
      <c r="ET8" s="110"/>
      <c r="EU8" s="110"/>
      <c r="EV8" s="110"/>
      <c r="EW8" s="110"/>
      <c r="EX8" s="110"/>
      <c r="EY8" s="110"/>
      <c r="EZ8" s="110">
        <f>SUM(EN8:EY8)</f>
        <v>0</v>
      </c>
      <c r="FB8" s="110"/>
      <c r="FC8" s="110"/>
      <c r="FD8" s="110"/>
      <c r="FE8" s="110"/>
      <c r="FF8" s="110"/>
      <c r="FG8" s="110"/>
      <c r="FH8" s="110"/>
      <c r="FI8" s="110"/>
      <c r="FJ8" s="110"/>
      <c r="FK8" s="110"/>
      <c r="FL8" s="110"/>
      <c r="FM8" s="110"/>
      <c r="FN8" s="110">
        <f>SUM(FB8:FM8)</f>
        <v>0</v>
      </c>
      <c r="FP8" s="110"/>
      <c r="FQ8" s="110"/>
      <c r="FR8" s="110"/>
      <c r="FS8" s="110"/>
      <c r="FT8" s="110"/>
      <c r="FU8" s="110"/>
      <c r="FV8" s="110"/>
      <c r="FW8" s="110"/>
      <c r="FX8" s="110"/>
      <c r="FY8" s="110"/>
      <c r="FZ8" s="110"/>
      <c r="GA8" s="110"/>
      <c r="GB8" s="110">
        <f>SUM(FP8:GA8)</f>
        <v>0</v>
      </c>
    </row>
    <row r="9" spans="2:184" s="108" customFormat="1" ht="13.8" customHeight="1" x14ac:dyDescent="0.3">
      <c r="B9" s="109" t="s">
        <v>121</v>
      </c>
      <c r="D9" s="110">
        <v>20000</v>
      </c>
      <c r="E9" s="110">
        <v>20000</v>
      </c>
      <c r="F9" s="110">
        <v>20000</v>
      </c>
      <c r="G9" s="110">
        <v>20000</v>
      </c>
      <c r="H9" s="110">
        <v>20000</v>
      </c>
      <c r="I9" s="110">
        <v>20000</v>
      </c>
      <c r="J9" s="110">
        <v>20000</v>
      </c>
      <c r="K9" s="110">
        <v>20000</v>
      </c>
      <c r="L9" s="110">
        <v>20000</v>
      </c>
      <c r="M9" s="110">
        <v>20000</v>
      </c>
      <c r="N9" s="110">
        <v>20000</v>
      </c>
      <c r="O9" s="110">
        <v>20000</v>
      </c>
      <c r="P9" s="110">
        <f t="shared" ref="P9:P20" si="13">SUM(D9:O9)</f>
        <v>240000</v>
      </c>
      <c r="R9" s="110"/>
      <c r="S9" s="110"/>
      <c r="T9" s="110"/>
      <c r="U9" s="110"/>
      <c r="V9" s="110"/>
      <c r="W9" s="110"/>
      <c r="X9" s="110"/>
      <c r="Y9" s="110"/>
      <c r="Z9" s="110"/>
      <c r="AA9" s="110"/>
      <c r="AB9" s="110"/>
      <c r="AC9" s="110"/>
      <c r="AD9" s="110">
        <f>SUM(R9:AC9)</f>
        <v>0</v>
      </c>
      <c r="AF9" s="110"/>
      <c r="AG9" s="110"/>
      <c r="AH9" s="110"/>
      <c r="AI9" s="110"/>
      <c r="AJ9" s="110"/>
      <c r="AK9" s="110"/>
      <c r="AL9" s="110"/>
      <c r="AM9" s="110"/>
      <c r="AN9" s="110"/>
      <c r="AO9" s="110"/>
      <c r="AP9" s="110"/>
      <c r="AQ9" s="110"/>
      <c r="AR9" s="110">
        <f>SUM(AF9:AQ9)</f>
        <v>0</v>
      </c>
      <c r="AT9" s="110"/>
      <c r="AU9" s="110"/>
      <c r="AV9" s="110"/>
      <c r="AW9" s="110"/>
      <c r="AX9" s="110"/>
      <c r="AY9" s="110"/>
      <c r="AZ9" s="110"/>
      <c r="BA9" s="110"/>
      <c r="BB9" s="110"/>
      <c r="BC9" s="110"/>
      <c r="BD9" s="110"/>
      <c r="BE9" s="110"/>
      <c r="BF9" s="110">
        <f>SUM(AT9:BE9)</f>
        <v>0</v>
      </c>
      <c r="BH9" s="110"/>
      <c r="BI9" s="110"/>
      <c r="BJ9" s="110"/>
      <c r="BK9" s="110"/>
      <c r="BL9" s="110"/>
      <c r="BM9" s="110"/>
      <c r="BN9" s="110"/>
      <c r="BO9" s="110"/>
      <c r="BP9" s="110"/>
      <c r="BQ9" s="110"/>
      <c r="BR9" s="110"/>
      <c r="BS9" s="110"/>
      <c r="BT9" s="110">
        <f>SUM(BH9:BS9)</f>
        <v>0</v>
      </c>
      <c r="BV9" s="110"/>
      <c r="BW9" s="110"/>
      <c r="BX9" s="110"/>
      <c r="BY9" s="110"/>
      <c r="BZ9" s="110"/>
      <c r="CA9" s="110"/>
      <c r="CB9" s="110"/>
      <c r="CC9" s="110"/>
      <c r="CD9" s="110"/>
      <c r="CE9" s="110"/>
      <c r="CF9" s="110"/>
      <c r="CG9" s="110"/>
      <c r="CH9" s="110">
        <f>SUM(BV9:CG9)</f>
        <v>0</v>
      </c>
      <c r="CJ9" s="110"/>
      <c r="CK9" s="110"/>
      <c r="CL9" s="110"/>
      <c r="CM9" s="110"/>
      <c r="CN9" s="110"/>
      <c r="CO9" s="110"/>
      <c r="CP9" s="110"/>
      <c r="CQ9" s="110"/>
      <c r="CR9" s="110"/>
      <c r="CS9" s="110"/>
      <c r="CT9" s="110"/>
      <c r="CU9" s="110"/>
      <c r="CV9" s="110">
        <f>SUM(CJ9:CU9)</f>
        <v>0</v>
      </c>
      <c r="CX9" s="110"/>
      <c r="CY9" s="110"/>
      <c r="CZ9" s="110"/>
      <c r="DA9" s="110"/>
      <c r="DB9" s="110"/>
      <c r="DC9" s="110"/>
      <c r="DD9" s="110"/>
      <c r="DE9" s="110"/>
      <c r="DF9" s="110"/>
      <c r="DG9" s="110"/>
      <c r="DH9" s="110"/>
      <c r="DI9" s="110"/>
      <c r="DJ9" s="110">
        <f>SUM(CX9:DI9)</f>
        <v>0</v>
      </c>
      <c r="DL9" s="110"/>
      <c r="DM9" s="110"/>
      <c r="DN9" s="110"/>
      <c r="DO9" s="110"/>
      <c r="DP9" s="110"/>
      <c r="DQ9" s="110"/>
      <c r="DR9" s="110"/>
      <c r="DS9" s="110"/>
      <c r="DT9" s="110"/>
      <c r="DU9" s="110"/>
      <c r="DV9" s="110"/>
      <c r="DW9" s="110"/>
      <c r="DX9" s="110">
        <f>SUM(DL9:DW9)</f>
        <v>0</v>
      </c>
      <c r="DZ9" s="110"/>
      <c r="EA9" s="110"/>
      <c r="EB9" s="110"/>
      <c r="EC9" s="110"/>
      <c r="ED9" s="110"/>
      <c r="EE9" s="110"/>
      <c r="EF9" s="110"/>
      <c r="EG9" s="110"/>
      <c r="EH9" s="110"/>
      <c r="EI9" s="110"/>
      <c r="EJ9" s="110"/>
      <c r="EK9" s="110"/>
      <c r="EL9" s="110">
        <f>SUM(DZ9:EK9)</f>
        <v>0</v>
      </c>
      <c r="EN9" s="110"/>
      <c r="EO9" s="110"/>
      <c r="EP9" s="110"/>
      <c r="EQ9" s="110"/>
      <c r="ER9" s="110"/>
      <c r="ES9" s="110"/>
      <c r="ET9" s="110"/>
      <c r="EU9" s="110"/>
      <c r="EV9" s="110"/>
      <c r="EW9" s="110"/>
      <c r="EX9" s="110"/>
      <c r="EY9" s="110"/>
      <c r="EZ9" s="110">
        <f>SUM(EN9:EY9)</f>
        <v>0</v>
      </c>
      <c r="FB9" s="110"/>
      <c r="FC9" s="110"/>
      <c r="FD9" s="110"/>
      <c r="FE9" s="110"/>
      <c r="FF9" s="110"/>
      <c r="FG9" s="110"/>
      <c r="FH9" s="110"/>
      <c r="FI9" s="110"/>
      <c r="FJ9" s="110"/>
      <c r="FK9" s="110"/>
      <c r="FL9" s="110"/>
      <c r="FM9" s="110"/>
      <c r="FN9" s="110">
        <f>SUM(FB9:FM9)</f>
        <v>0</v>
      </c>
      <c r="FP9" s="110"/>
      <c r="FQ9" s="110"/>
      <c r="FR9" s="110"/>
      <c r="FS9" s="110"/>
      <c r="FT9" s="110"/>
      <c r="FU9" s="110"/>
      <c r="FV9" s="110"/>
      <c r="FW9" s="110"/>
      <c r="FX9" s="110"/>
      <c r="FY9" s="110"/>
      <c r="FZ9" s="110"/>
      <c r="GA9" s="110"/>
      <c r="GB9" s="110">
        <f>SUM(FP9:GA9)</f>
        <v>0</v>
      </c>
    </row>
    <row r="10" spans="2:184" s="108" customFormat="1" ht="13.8" customHeight="1" x14ac:dyDescent="0.3">
      <c r="B10" s="109" t="s">
        <v>284</v>
      </c>
      <c r="D10" s="110">
        <v>10000</v>
      </c>
      <c r="E10" s="110">
        <v>10000</v>
      </c>
      <c r="F10" s="110">
        <v>10000</v>
      </c>
      <c r="G10" s="110">
        <v>10000</v>
      </c>
      <c r="H10" s="110">
        <v>10000</v>
      </c>
      <c r="I10" s="110">
        <v>10000</v>
      </c>
      <c r="J10" s="110">
        <v>10000</v>
      </c>
      <c r="K10" s="110">
        <v>10000</v>
      </c>
      <c r="L10" s="110">
        <v>10000</v>
      </c>
      <c r="M10" s="110">
        <v>10000</v>
      </c>
      <c r="N10" s="110">
        <v>10000</v>
      </c>
      <c r="O10" s="110">
        <v>10000</v>
      </c>
      <c r="P10" s="110">
        <f t="shared" si="13"/>
        <v>120000</v>
      </c>
      <c r="R10" s="110"/>
      <c r="S10" s="110"/>
      <c r="T10" s="110"/>
      <c r="U10" s="110"/>
      <c r="V10" s="110"/>
      <c r="W10" s="110"/>
      <c r="X10" s="110"/>
      <c r="Y10" s="110"/>
      <c r="Z10" s="110"/>
      <c r="AA10" s="110"/>
      <c r="AB10" s="110"/>
      <c r="AC10" s="110"/>
      <c r="AD10" s="110">
        <f>SUM(R10:AC10)</f>
        <v>0</v>
      </c>
      <c r="AF10" s="110"/>
      <c r="AG10" s="110"/>
      <c r="AH10" s="110"/>
      <c r="AI10" s="110"/>
      <c r="AJ10" s="110"/>
      <c r="AK10" s="110"/>
      <c r="AL10" s="110"/>
      <c r="AM10" s="110"/>
      <c r="AN10" s="110"/>
      <c r="AO10" s="110"/>
      <c r="AP10" s="110"/>
      <c r="AQ10" s="110"/>
      <c r="AR10" s="110">
        <f>SUM(AF10:AQ10)</f>
        <v>0</v>
      </c>
      <c r="AT10" s="110"/>
      <c r="AU10" s="110"/>
      <c r="AV10" s="110"/>
      <c r="AW10" s="110"/>
      <c r="AX10" s="110"/>
      <c r="AY10" s="110"/>
      <c r="AZ10" s="110"/>
      <c r="BA10" s="110"/>
      <c r="BB10" s="110"/>
      <c r="BC10" s="110"/>
      <c r="BD10" s="110"/>
      <c r="BE10" s="110"/>
      <c r="BF10" s="110">
        <f>SUM(AT10:BE10)</f>
        <v>0</v>
      </c>
      <c r="BH10" s="110"/>
      <c r="BI10" s="110"/>
      <c r="BJ10" s="110"/>
      <c r="BK10" s="110"/>
      <c r="BL10" s="110"/>
      <c r="BM10" s="110"/>
      <c r="BN10" s="110"/>
      <c r="BO10" s="110"/>
      <c r="BP10" s="110"/>
      <c r="BQ10" s="110"/>
      <c r="BR10" s="110"/>
      <c r="BS10" s="110"/>
      <c r="BT10" s="110">
        <f>SUM(BH10:BS10)</f>
        <v>0</v>
      </c>
      <c r="BV10" s="110"/>
      <c r="BW10" s="110"/>
      <c r="BX10" s="110"/>
      <c r="BY10" s="110"/>
      <c r="BZ10" s="110"/>
      <c r="CA10" s="110"/>
      <c r="CB10" s="110"/>
      <c r="CC10" s="110"/>
      <c r="CD10" s="110"/>
      <c r="CE10" s="110"/>
      <c r="CF10" s="110"/>
      <c r="CG10" s="110"/>
      <c r="CH10" s="110">
        <f>SUM(BV10:CG10)</f>
        <v>0</v>
      </c>
      <c r="CJ10" s="110"/>
      <c r="CK10" s="110"/>
      <c r="CL10" s="110"/>
      <c r="CM10" s="110"/>
      <c r="CN10" s="110"/>
      <c r="CO10" s="110"/>
      <c r="CP10" s="110"/>
      <c r="CQ10" s="110"/>
      <c r="CR10" s="110"/>
      <c r="CS10" s="110"/>
      <c r="CT10" s="110"/>
      <c r="CU10" s="110"/>
      <c r="CV10" s="110">
        <f>SUM(CJ10:CU10)</f>
        <v>0</v>
      </c>
      <c r="CX10" s="110"/>
      <c r="CY10" s="110"/>
      <c r="CZ10" s="110"/>
      <c r="DA10" s="110"/>
      <c r="DB10" s="110"/>
      <c r="DC10" s="110"/>
      <c r="DD10" s="110"/>
      <c r="DE10" s="110"/>
      <c r="DF10" s="110"/>
      <c r="DG10" s="110"/>
      <c r="DH10" s="110"/>
      <c r="DI10" s="110"/>
      <c r="DJ10" s="110">
        <f>SUM(CX10:DI10)</f>
        <v>0</v>
      </c>
      <c r="DL10" s="110"/>
      <c r="DM10" s="110"/>
      <c r="DN10" s="110"/>
      <c r="DO10" s="110"/>
      <c r="DP10" s="110"/>
      <c r="DQ10" s="110"/>
      <c r="DR10" s="110"/>
      <c r="DS10" s="110"/>
      <c r="DT10" s="110"/>
      <c r="DU10" s="110"/>
      <c r="DV10" s="110"/>
      <c r="DW10" s="110"/>
      <c r="DX10" s="110">
        <f>SUM(DL10:DW10)</f>
        <v>0</v>
      </c>
      <c r="DZ10" s="110"/>
      <c r="EA10" s="110"/>
      <c r="EB10" s="110"/>
      <c r="EC10" s="110"/>
      <c r="ED10" s="110"/>
      <c r="EE10" s="110"/>
      <c r="EF10" s="110"/>
      <c r="EG10" s="110"/>
      <c r="EH10" s="110"/>
      <c r="EI10" s="110"/>
      <c r="EJ10" s="110"/>
      <c r="EK10" s="110"/>
      <c r="EL10" s="110">
        <f>SUM(DZ10:EK10)</f>
        <v>0</v>
      </c>
      <c r="EN10" s="110"/>
      <c r="EO10" s="110"/>
      <c r="EP10" s="110"/>
      <c r="EQ10" s="110"/>
      <c r="ER10" s="110"/>
      <c r="ES10" s="110"/>
      <c r="ET10" s="110"/>
      <c r="EU10" s="110"/>
      <c r="EV10" s="110"/>
      <c r="EW10" s="110"/>
      <c r="EX10" s="110"/>
      <c r="EY10" s="110"/>
      <c r="EZ10" s="110">
        <f>SUM(EN10:EY10)</f>
        <v>0</v>
      </c>
      <c r="FB10" s="110"/>
      <c r="FC10" s="110"/>
      <c r="FD10" s="110"/>
      <c r="FE10" s="110"/>
      <c r="FF10" s="110"/>
      <c r="FG10" s="110"/>
      <c r="FH10" s="110"/>
      <c r="FI10" s="110"/>
      <c r="FJ10" s="110"/>
      <c r="FK10" s="110"/>
      <c r="FL10" s="110"/>
      <c r="FM10" s="110"/>
      <c r="FN10" s="110">
        <f>SUM(FB10:FM10)</f>
        <v>0</v>
      </c>
      <c r="FP10" s="110"/>
      <c r="FQ10" s="110"/>
      <c r="FR10" s="110"/>
      <c r="FS10" s="110"/>
      <c r="FT10" s="110"/>
      <c r="FU10" s="110"/>
      <c r="FV10" s="110"/>
      <c r="FW10" s="110"/>
      <c r="FX10" s="110"/>
      <c r="FY10" s="110"/>
      <c r="FZ10" s="110"/>
      <c r="GA10" s="110"/>
      <c r="GB10" s="110">
        <f>SUM(FP10:GA10)</f>
        <v>0</v>
      </c>
    </row>
    <row r="11" spans="2:184" s="108" customFormat="1" ht="13.95" customHeight="1" x14ac:dyDescent="0.3">
      <c r="B11" s="109" t="s">
        <v>285</v>
      </c>
      <c r="D11" s="110">
        <v>40000</v>
      </c>
      <c r="E11" s="110">
        <v>40000</v>
      </c>
      <c r="F11" s="110">
        <v>40000</v>
      </c>
      <c r="G11" s="110">
        <v>40000</v>
      </c>
      <c r="H11" s="110">
        <v>40000</v>
      </c>
      <c r="I11" s="110">
        <v>40000</v>
      </c>
      <c r="J11" s="110">
        <v>40000</v>
      </c>
      <c r="K11" s="110">
        <v>40000</v>
      </c>
      <c r="L11" s="110">
        <v>40000</v>
      </c>
      <c r="M11" s="110">
        <v>40000</v>
      </c>
      <c r="N11" s="110">
        <v>40000</v>
      </c>
      <c r="O11" s="110">
        <v>40000</v>
      </c>
      <c r="P11" s="110">
        <f t="shared" si="13"/>
        <v>480000</v>
      </c>
      <c r="R11" s="110"/>
      <c r="S11" s="110"/>
      <c r="T11" s="110"/>
      <c r="U11" s="110"/>
      <c r="V11" s="110"/>
      <c r="W11" s="110"/>
      <c r="X11" s="110"/>
      <c r="Y11" s="110"/>
      <c r="Z11" s="110"/>
      <c r="AA11" s="110"/>
      <c r="AB11" s="110"/>
      <c r="AC11" s="110"/>
      <c r="AD11" s="110">
        <f>SUM(R11:AC11)</f>
        <v>0</v>
      </c>
      <c r="AF11" s="110"/>
      <c r="AG11" s="110"/>
      <c r="AH11" s="110"/>
      <c r="AI11" s="110"/>
      <c r="AJ11" s="110"/>
      <c r="AK11" s="110"/>
      <c r="AL11" s="110"/>
      <c r="AM11" s="110"/>
      <c r="AN11" s="110"/>
      <c r="AO11" s="110"/>
      <c r="AP11" s="110"/>
      <c r="AQ11" s="110"/>
      <c r="AR11" s="110">
        <f>SUM(AF11:AQ11)</f>
        <v>0</v>
      </c>
      <c r="AT11" s="110"/>
      <c r="AU11" s="110"/>
      <c r="AV11" s="110"/>
      <c r="AW11" s="110"/>
      <c r="AX11" s="110"/>
      <c r="AY11" s="110"/>
      <c r="AZ11" s="110"/>
      <c r="BA11" s="110"/>
      <c r="BB11" s="110"/>
      <c r="BC11" s="110"/>
      <c r="BD11" s="110"/>
      <c r="BE11" s="110"/>
      <c r="BF11" s="110">
        <f>SUM(AT11:BE11)</f>
        <v>0</v>
      </c>
      <c r="BH11" s="110"/>
      <c r="BI11" s="110"/>
      <c r="BJ11" s="110"/>
      <c r="BK11" s="110"/>
      <c r="BL11" s="110"/>
      <c r="BM11" s="110"/>
      <c r="BN11" s="110"/>
      <c r="BO11" s="110"/>
      <c r="BP11" s="110"/>
      <c r="BQ11" s="110"/>
      <c r="BR11" s="110"/>
      <c r="BS11" s="110"/>
      <c r="BT11" s="110">
        <f>SUM(BH11:BS11)</f>
        <v>0</v>
      </c>
      <c r="BV11" s="110"/>
      <c r="BW11" s="110"/>
      <c r="BX11" s="110"/>
      <c r="BY11" s="110"/>
      <c r="BZ11" s="110"/>
      <c r="CA11" s="110"/>
      <c r="CB11" s="110"/>
      <c r="CC11" s="110"/>
      <c r="CD11" s="110"/>
      <c r="CE11" s="110"/>
      <c r="CF11" s="110"/>
      <c r="CG11" s="110"/>
      <c r="CH11" s="110">
        <f>SUM(BV11:CG11)</f>
        <v>0</v>
      </c>
      <c r="CJ11" s="110"/>
      <c r="CK11" s="110"/>
      <c r="CL11" s="110"/>
      <c r="CM11" s="110"/>
      <c r="CN11" s="110"/>
      <c r="CO11" s="110"/>
      <c r="CP11" s="110"/>
      <c r="CQ11" s="110"/>
      <c r="CR11" s="110"/>
      <c r="CS11" s="110"/>
      <c r="CT11" s="110"/>
      <c r="CU11" s="110"/>
      <c r="CV11" s="110">
        <f>SUM(CJ11:CU11)</f>
        <v>0</v>
      </c>
      <c r="CX11" s="110"/>
      <c r="CY11" s="110"/>
      <c r="CZ11" s="110"/>
      <c r="DA11" s="110"/>
      <c r="DB11" s="110"/>
      <c r="DC11" s="110"/>
      <c r="DD11" s="110"/>
      <c r="DE11" s="110"/>
      <c r="DF11" s="110"/>
      <c r="DG11" s="110"/>
      <c r="DH11" s="110"/>
      <c r="DI11" s="110"/>
      <c r="DJ11" s="110">
        <f>SUM(CX11:DI11)</f>
        <v>0</v>
      </c>
      <c r="DL11" s="110"/>
      <c r="DM11" s="110"/>
      <c r="DN11" s="110"/>
      <c r="DO11" s="110"/>
      <c r="DP11" s="110"/>
      <c r="DQ11" s="110"/>
      <c r="DR11" s="110"/>
      <c r="DS11" s="110"/>
      <c r="DT11" s="110"/>
      <c r="DU11" s="110"/>
      <c r="DV11" s="110"/>
      <c r="DW11" s="110"/>
      <c r="DX11" s="110">
        <f>SUM(DL11:DW11)</f>
        <v>0</v>
      </c>
      <c r="DZ11" s="110"/>
      <c r="EA11" s="110"/>
      <c r="EB11" s="110"/>
      <c r="EC11" s="110"/>
      <c r="ED11" s="110"/>
      <c r="EE11" s="110"/>
      <c r="EF11" s="110"/>
      <c r="EG11" s="110"/>
      <c r="EH11" s="110"/>
      <c r="EI11" s="110"/>
      <c r="EJ11" s="110"/>
      <c r="EK11" s="110"/>
      <c r="EL11" s="110">
        <f>SUM(DZ11:EK11)</f>
        <v>0</v>
      </c>
      <c r="EN11" s="110"/>
      <c r="EO11" s="110"/>
      <c r="EP11" s="110"/>
      <c r="EQ11" s="110"/>
      <c r="ER11" s="110"/>
      <c r="ES11" s="110"/>
      <c r="ET11" s="110"/>
      <c r="EU11" s="110"/>
      <c r="EV11" s="110"/>
      <c r="EW11" s="110"/>
      <c r="EX11" s="110"/>
      <c r="EY11" s="110"/>
      <c r="EZ11" s="110">
        <f>SUM(EN11:EY11)</f>
        <v>0</v>
      </c>
      <c r="FB11" s="110"/>
      <c r="FC11" s="110"/>
      <c r="FD11" s="110"/>
      <c r="FE11" s="110"/>
      <c r="FF11" s="110"/>
      <c r="FG11" s="110"/>
      <c r="FH11" s="110"/>
      <c r="FI11" s="110"/>
      <c r="FJ11" s="110"/>
      <c r="FK11" s="110"/>
      <c r="FL11" s="110"/>
      <c r="FM11" s="110"/>
      <c r="FN11" s="110">
        <f>SUM(FB11:FM11)</f>
        <v>0</v>
      </c>
      <c r="FP11" s="110"/>
      <c r="FQ11" s="110"/>
      <c r="FR11" s="110"/>
      <c r="FS11" s="110"/>
      <c r="FT11" s="110"/>
      <c r="FU11" s="110"/>
      <c r="FV11" s="110"/>
      <c r="FW11" s="110"/>
      <c r="FX11" s="110"/>
      <c r="FY11" s="110"/>
      <c r="FZ11" s="110"/>
      <c r="GA11" s="110"/>
      <c r="GB11" s="110">
        <f>SUM(FP11:GA11)</f>
        <v>0</v>
      </c>
    </row>
    <row r="12" spans="2:184" s="108" customFormat="1" ht="13.95" customHeight="1" x14ac:dyDescent="0.3">
      <c r="B12" s="109" t="s">
        <v>108</v>
      </c>
      <c r="D12" s="110"/>
      <c r="E12" s="110"/>
      <c r="F12" s="110"/>
      <c r="G12" s="110"/>
      <c r="H12" s="110"/>
      <c r="I12" s="110"/>
      <c r="J12" s="110"/>
      <c r="K12" s="110"/>
      <c r="L12" s="110"/>
      <c r="M12" s="110"/>
      <c r="N12" s="110"/>
      <c r="O12" s="110"/>
      <c r="P12" s="110">
        <f t="shared" si="13"/>
        <v>0</v>
      </c>
      <c r="R12" s="110"/>
      <c r="S12" s="110"/>
      <c r="T12" s="110"/>
      <c r="U12" s="110"/>
      <c r="V12" s="110"/>
      <c r="W12" s="110"/>
      <c r="X12" s="110"/>
      <c r="Y12" s="110"/>
      <c r="Z12" s="110"/>
      <c r="AA12" s="110"/>
      <c r="AB12" s="110"/>
      <c r="AC12" s="110"/>
      <c r="AD12" s="110">
        <f>SUM(R12:AC12)</f>
        <v>0</v>
      </c>
      <c r="AF12" s="110"/>
      <c r="AG12" s="110"/>
      <c r="AH12" s="110"/>
      <c r="AI12" s="110"/>
      <c r="AJ12" s="110"/>
      <c r="AK12" s="110"/>
      <c r="AL12" s="110"/>
      <c r="AM12" s="110"/>
      <c r="AN12" s="110"/>
      <c r="AO12" s="110"/>
      <c r="AP12" s="110"/>
      <c r="AQ12" s="110"/>
      <c r="AR12" s="110">
        <f>SUM(AF12:AQ12)</f>
        <v>0</v>
      </c>
      <c r="AT12" s="110"/>
      <c r="AU12" s="110"/>
      <c r="AV12" s="110"/>
      <c r="AW12" s="110"/>
      <c r="AX12" s="110"/>
      <c r="AY12" s="110"/>
      <c r="AZ12" s="110"/>
      <c r="BA12" s="110"/>
      <c r="BB12" s="110"/>
      <c r="BC12" s="110"/>
      <c r="BD12" s="110"/>
      <c r="BE12" s="110"/>
      <c r="BF12" s="110">
        <f>SUM(AT12:BE12)</f>
        <v>0</v>
      </c>
      <c r="BH12" s="110"/>
      <c r="BI12" s="110"/>
      <c r="BJ12" s="110"/>
      <c r="BK12" s="110"/>
      <c r="BL12" s="110"/>
      <c r="BM12" s="110"/>
      <c r="BN12" s="110"/>
      <c r="BO12" s="110"/>
      <c r="BP12" s="110"/>
      <c r="BQ12" s="110"/>
      <c r="BR12" s="110"/>
      <c r="BS12" s="110"/>
      <c r="BT12" s="110">
        <f>SUM(BH12:BS12)</f>
        <v>0</v>
      </c>
      <c r="BV12" s="110"/>
      <c r="BW12" s="110"/>
      <c r="BX12" s="110"/>
      <c r="BY12" s="110"/>
      <c r="BZ12" s="110"/>
      <c r="CA12" s="110"/>
      <c r="CB12" s="110"/>
      <c r="CC12" s="110"/>
      <c r="CD12" s="110"/>
      <c r="CE12" s="110"/>
      <c r="CF12" s="110"/>
      <c r="CG12" s="110"/>
      <c r="CH12" s="110">
        <f>SUM(BV12:CG12)</f>
        <v>0</v>
      </c>
      <c r="CJ12" s="110"/>
      <c r="CK12" s="110"/>
      <c r="CL12" s="110"/>
      <c r="CM12" s="110"/>
      <c r="CN12" s="110"/>
      <c r="CO12" s="110"/>
      <c r="CP12" s="110"/>
      <c r="CQ12" s="110"/>
      <c r="CR12" s="110"/>
      <c r="CS12" s="110"/>
      <c r="CT12" s="110"/>
      <c r="CU12" s="110"/>
      <c r="CV12" s="110">
        <f>SUM(CJ12:CU12)</f>
        <v>0</v>
      </c>
      <c r="CX12" s="110"/>
      <c r="CY12" s="110"/>
      <c r="CZ12" s="110"/>
      <c r="DA12" s="110"/>
      <c r="DB12" s="110"/>
      <c r="DC12" s="110"/>
      <c r="DD12" s="110"/>
      <c r="DE12" s="110"/>
      <c r="DF12" s="110"/>
      <c r="DG12" s="110"/>
      <c r="DH12" s="110"/>
      <c r="DI12" s="110"/>
      <c r="DJ12" s="110">
        <f>SUM(CX12:DI12)</f>
        <v>0</v>
      </c>
      <c r="DL12" s="110"/>
      <c r="DM12" s="110"/>
      <c r="DN12" s="110"/>
      <c r="DO12" s="110"/>
      <c r="DP12" s="110"/>
      <c r="DQ12" s="110"/>
      <c r="DR12" s="110"/>
      <c r="DS12" s="110"/>
      <c r="DT12" s="110"/>
      <c r="DU12" s="110"/>
      <c r="DV12" s="110"/>
      <c r="DW12" s="110"/>
      <c r="DX12" s="110">
        <f>SUM(DL12:DW12)</f>
        <v>0</v>
      </c>
      <c r="DZ12" s="110"/>
      <c r="EA12" s="110"/>
      <c r="EB12" s="110"/>
      <c r="EC12" s="110"/>
      <c r="ED12" s="110"/>
      <c r="EE12" s="110"/>
      <c r="EF12" s="110"/>
      <c r="EG12" s="110"/>
      <c r="EH12" s="110"/>
      <c r="EI12" s="110"/>
      <c r="EJ12" s="110"/>
      <c r="EK12" s="110"/>
      <c r="EL12" s="110">
        <f>SUM(DZ12:EK12)</f>
        <v>0</v>
      </c>
      <c r="EN12" s="110"/>
      <c r="EO12" s="110"/>
      <c r="EP12" s="110"/>
      <c r="EQ12" s="110"/>
      <c r="ER12" s="110"/>
      <c r="ES12" s="110"/>
      <c r="ET12" s="110"/>
      <c r="EU12" s="110"/>
      <c r="EV12" s="110"/>
      <c r="EW12" s="110"/>
      <c r="EX12" s="110"/>
      <c r="EY12" s="110"/>
      <c r="EZ12" s="110">
        <f>SUM(EN12:EY12)</f>
        <v>0</v>
      </c>
      <c r="FB12" s="110"/>
      <c r="FC12" s="110"/>
      <c r="FD12" s="110"/>
      <c r="FE12" s="110"/>
      <c r="FF12" s="110"/>
      <c r="FG12" s="110"/>
      <c r="FH12" s="110"/>
      <c r="FI12" s="110"/>
      <c r="FJ12" s="110"/>
      <c r="FK12" s="110"/>
      <c r="FL12" s="110"/>
      <c r="FM12" s="110"/>
      <c r="FN12" s="110">
        <f>SUM(FB12:FM12)</f>
        <v>0</v>
      </c>
      <c r="FP12" s="110"/>
      <c r="FQ12" s="110"/>
      <c r="FR12" s="110"/>
      <c r="FS12" s="110"/>
      <c r="FT12" s="110"/>
      <c r="FU12" s="110"/>
      <c r="FV12" s="110"/>
      <c r="FW12" s="110"/>
      <c r="FX12" s="110"/>
      <c r="FY12" s="110"/>
      <c r="FZ12" s="110"/>
      <c r="GA12" s="110"/>
      <c r="GB12" s="110">
        <f>SUM(FP12:GA12)</f>
        <v>0</v>
      </c>
    </row>
    <row r="13" spans="2:184" s="108" customFormat="1" ht="13.95" customHeight="1" x14ac:dyDescent="0.3">
      <c r="B13" s="109" t="s">
        <v>123</v>
      </c>
      <c r="D13" s="110"/>
      <c r="E13" s="110"/>
      <c r="F13" s="110"/>
      <c r="G13" s="110"/>
      <c r="H13" s="110"/>
      <c r="I13" s="110"/>
      <c r="J13" s="110"/>
      <c r="K13" s="110"/>
      <c r="L13" s="110"/>
      <c r="M13" s="110"/>
      <c r="N13" s="110"/>
      <c r="O13" s="110"/>
      <c r="P13" s="110"/>
      <c r="R13" s="110"/>
      <c r="S13" s="110"/>
      <c r="T13" s="110"/>
      <c r="U13" s="110"/>
      <c r="V13" s="110"/>
      <c r="W13" s="110"/>
      <c r="X13" s="110"/>
      <c r="Y13" s="110"/>
      <c r="Z13" s="110"/>
      <c r="AA13" s="110"/>
      <c r="AB13" s="110"/>
      <c r="AC13" s="110"/>
      <c r="AD13" s="110"/>
      <c r="AF13" s="110"/>
      <c r="AG13" s="110"/>
      <c r="AH13" s="110"/>
      <c r="AI13" s="110"/>
      <c r="AJ13" s="110"/>
      <c r="AK13" s="110"/>
      <c r="AL13" s="110"/>
      <c r="AM13" s="110"/>
      <c r="AN13" s="110"/>
      <c r="AO13" s="110"/>
      <c r="AP13" s="110"/>
      <c r="AQ13" s="110"/>
      <c r="AR13" s="110"/>
      <c r="AT13" s="110"/>
      <c r="AU13" s="110"/>
      <c r="AV13" s="110"/>
      <c r="AW13" s="110"/>
      <c r="AX13" s="110"/>
      <c r="AY13" s="110"/>
      <c r="AZ13" s="110"/>
      <c r="BA13" s="110"/>
      <c r="BB13" s="110"/>
      <c r="BC13" s="110"/>
      <c r="BD13" s="110"/>
      <c r="BE13" s="110"/>
      <c r="BF13" s="110"/>
      <c r="BH13" s="110"/>
      <c r="BI13" s="110"/>
      <c r="BJ13" s="110"/>
      <c r="BK13" s="110"/>
      <c r="BL13" s="110"/>
      <c r="BM13" s="110"/>
      <c r="BN13" s="110"/>
      <c r="BO13" s="110"/>
      <c r="BP13" s="110"/>
      <c r="BQ13" s="110"/>
      <c r="BR13" s="110"/>
      <c r="BS13" s="110"/>
      <c r="BT13" s="110"/>
      <c r="BV13" s="110"/>
      <c r="BW13" s="110"/>
      <c r="BX13" s="110"/>
      <c r="BY13" s="110"/>
      <c r="BZ13" s="110"/>
      <c r="CA13" s="110"/>
      <c r="CB13" s="110"/>
      <c r="CC13" s="110"/>
      <c r="CD13" s="110"/>
      <c r="CE13" s="110"/>
      <c r="CF13" s="110"/>
      <c r="CG13" s="110"/>
      <c r="CH13" s="110"/>
      <c r="CJ13" s="110"/>
      <c r="CK13" s="110"/>
      <c r="CL13" s="110"/>
      <c r="CM13" s="110"/>
      <c r="CN13" s="110"/>
      <c r="CO13" s="110"/>
      <c r="CP13" s="110"/>
      <c r="CQ13" s="110"/>
      <c r="CR13" s="110"/>
      <c r="CS13" s="110"/>
      <c r="CT13" s="110"/>
      <c r="CU13" s="110"/>
      <c r="CV13" s="110"/>
      <c r="CX13" s="110"/>
      <c r="CY13" s="110"/>
      <c r="CZ13" s="110"/>
      <c r="DA13" s="110"/>
      <c r="DB13" s="110"/>
      <c r="DC13" s="110"/>
      <c r="DD13" s="110"/>
      <c r="DE13" s="110"/>
      <c r="DF13" s="110"/>
      <c r="DG13" s="110"/>
      <c r="DH13" s="110"/>
      <c r="DI13" s="110"/>
      <c r="DJ13" s="110"/>
      <c r="DL13" s="110"/>
      <c r="DM13" s="110"/>
      <c r="DN13" s="110"/>
      <c r="DO13" s="110"/>
      <c r="DP13" s="110"/>
      <c r="DQ13" s="110"/>
      <c r="DR13" s="110"/>
      <c r="DS13" s="110"/>
      <c r="DT13" s="110"/>
      <c r="DU13" s="110"/>
      <c r="DV13" s="110"/>
      <c r="DW13" s="110"/>
      <c r="DX13" s="110"/>
      <c r="DZ13" s="110"/>
      <c r="EA13" s="110"/>
      <c r="EB13" s="110"/>
      <c r="EC13" s="110"/>
      <c r="ED13" s="110"/>
      <c r="EE13" s="110"/>
      <c r="EF13" s="110"/>
      <c r="EG13" s="110"/>
      <c r="EH13" s="110"/>
      <c r="EI13" s="110"/>
      <c r="EJ13" s="110"/>
      <c r="EK13" s="110"/>
      <c r="EL13" s="110"/>
      <c r="EN13" s="110"/>
      <c r="EO13" s="110"/>
      <c r="EP13" s="110"/>
      <c r="EQ13" s="110"/>
      <c r="ER13" s="110"/>
      <c r="ES13" s="110"/>
      <c r="ET13" s="110"/>
      <c r="EU13" s="110"/>
      <c r="EV13" s="110"/>
      <c r="EW13" s="110"/>
      <c r="EX13" s="110"/>
      <c r="EY13" s="110"/>
      <c r="EZ13" s="110"/>
      <c r="FB13" s="110"/>
      <c r="FC13" s="110"/>
      <c r="FD13" s="110"/>
      <c r="FE13" s="110"/>
      <c r="FF13" s="110"/>
      <c r="FG13" s="110"/>
      <c r="FH13" s="110"/>
      <c r="FI13" s="110"/>
      <c r="FJ13" s="110"/>
      <c r="FK13" s="110"/>
      <c r="FL13" s="110"/>
      <c r="FM13" s="110"/>
      <c r="FN13" s="110"/>
      <c r="FP13" s="110"/>
      <c r="FQ13" s="110"/>
      <c r="FR13" s="110"/>
      <c r="FS13" s="110"/>
      <c r="FT13" s="110"/>
      <c r="FU13" s="110"/>
      <c r="FV13" s="110"/>
      <c r="FW13" s="110"/>
      <c r="FX13" s="110"/>
      <c r="FY13" s="110"/>
      <c r="FZ13" s="110"/>
      <c r="GA13" s="110"/>
      <c r="GB13" s="110"/>
    </row>
    <row r="14" spans="2:184" s="108" customFormat="1" ht="13.95" customHeight="1" x14ac:dyDescent="0.3">
      <c r="B14" s="109" t="s">
        <v>126</v>
      </c>
      <c r="D14" s="110"/>
      <c r="E14" s="110"/>
      <c r="F14" s="110"/>
      <c r="G14" s="110"/>
      <c r="H14" s="110"/>
      <c r="I14" s="110"/>
      <c r="J14" s="110"/>
      <c r="K14" s="110"/>
      <c r="L14" s="110"/>
      <c r="M14" s="110"/>
      <c r="N14" s="110"/>
      <c r="O14" s="110"/>
      <c r="P14" s="110"/>
      <c r="R14" s="110"/>
      <c r="S14" s="110"/>
      <c r="T14" s="110"/>
      <c r="U14" s="110"/>
      <c r="V14" s="110"/>
      <c r="W14" s="110"/>
      <c r="X14" s="110"/>
      <c r="Y14" s="110"/>
      <c r="Z14" s="110"/>
      <c r="AA14" s="110"/>
      <c r="AB14" s="110"/>
      <c r="AC14" s="110"/>
      <c r="AD14" s="110"/>
      <c r="AF14" s="110"/>
      <c r="AG14" s="110"/>
      <c r="AH14" s="110"/>
      <c r="AI14" s="110"/>
      <c r="AJ14" s="110"/>
      <c r="AK14" s="110"/>
      <c r="AL14" s="110"/>
      <c r="AM14" s="110"/>
      <c r="AN14" s="110"/>
      <c r="AO14" s="110"/>
      <c r="AP14" s="110"/>
      <c r="AQ14" s="110"/>
      <c r="AR14" s="110"/>
      <c r="AT14" s="110"/>
      <c r="AU14" s="110"/>
      <c r="AV14" s="110"/>
      <c r="AW14" s="110"/>
      <c r="AX14" s="110"/>
      <c r="AY14" s="110"/>
      <c r="AZ14" s="110"/>
      <c r="BA14" s="110"/>
      <c r="BB14" s="110"/>
      <c r="BC14" s="110"/>
      <c r="BD14" s="110"/>
      <c r="BE14" s="110"/>
      <c r="BF14" s="110"/>
      <c r="BH14" s="110"/>
      <c r="BI14" s="110"/>
      <c r="BJ14" s="110"/>
      <c r="BK14" s="110"/>
      <c r="BL14" s="110"/>
      <c r="BM14" s="110"/>
      <c r="BN14" s="110"/>
      <c r="BO14" s="110"/>
      <c r="BP14" s="110"/>
      <c r="BQ14" s="110"/>
      <c r="BR14" s="110"/>
      <c r="BS14" s="110"/>
      <c r="BT14" s="110"/>
      <c r="BV14" s="110"/>
      <c r="BW14" s="110"/>
      <c r="BX14" s="110"/>
      <c r="BY14" s="110"/>
      <c r="BZ14" s="110"/>
      <c r="CA14" s="110"/>
      <c r="CB14" s="110"/>
      <c r="CC14" s="110"/>
      <c r="CD14" s="110"/>
      <c r="CE14" s="110"/>
      <c r="CF14" s="110"/>
      <c r="CG14" s="110"/>
      <c r="CH14" s="110"/>
      <c r="CJ14" s="110"/>
      <c r="CK14" s="110"/>
      <c r="CL14" s="110"/>
      <c r="CM14" s="110"/>
      <c r="CN14" s="110"/>
      <c r="CO14" s="110"/>
      <c r="CP14" s="110"/>
      <c r="CQ14" s="110"/>
      <c r="CR14" s="110"/>
      <c r="CS14" s="110"/>
      <c r="CT14" s="110"/>
      <c r="CU14" s="110"/>
      <c r="CV14" s="110"/>
      <c r="CX14" s="110"/>
      <c r="CY14" s="110"/>
      <c r="CZ14" s="110"/>
      <c r="DA14" s="110"/>
      <c r="DB14" s="110"/>
      <c r="DC14" s="110"/>
      <c r="DD14" s="110"/>
      <c r="DE14" s="110"/>
      <c r="DF14" s="110"/>
      <c r="DG14" s="110"/>
      <c r="DH14" s="110"/>
      <c r="DI14" s="110"/>
      <c r="DJ14" s="110"/>
      <c r="DL14" s="110"/>
      <c r="DM14" s="110"/>
      <c r="DN14" s="110"/>
      <c r="DO14" s="110"/>
      <c r="DP14" s="110"/>
      <c r="DQ14" s="110"/>
      <c r="DR14" s="110"/>
      <c r="DS14" s="110"/>
      <c r="DT14" s="110"/>
      <c r="DU14" s="110"/>
      <c r="DV14" s="110"/>
      <c r="DW14" s="110"/>
      <c r="DX14" s="110"/>
      <c r="DZ14" s="110"/>
      <c r="EA14" s="110"/>
      <c r="EB14" s="110"/>
      <c r="EC14" s="110"/>
      <c r="ED14" s="110"/>
      <c r="EE14" s="110"/>
      <c r="EF14" s="110"/>
      <c r="EG14" s="110"/>
      <c r="EH14" s="110"/>
      <c r="EI14" s="110"/>
      <c r="EJ14" s="110"/>
      <c r="EK14" s="110"/>
      <c r="EL14" s="110"/>
      <c r="EN14" s="110"/>
      <c r="EO14" s="110"/>
      <c r="EP14" s="110"/>
      <c r="EQ14" s="110"/>
      <c r="ER14" s="110"/>
      <c r="ES14" s="110"/>
      <c r="ET14" s="110"/>
      <c r="EU14" s="110"/>
      <c r="EV14" s="110"/>
      <c r="EW14" s="110"/>
      <c r="EX14" s="110"/>
      <c r="EY14" s="110"/>
      <c r="EZ14" s="110"/>
      <c r="FB14" s="110"/>
      <c r="FC14" s="110"/>
      <c r="FD14" s="110"/>
      <c r="FE14" s="110"/>
      <c r="FF14" s="110"/>
      <c r="FG14" s="110"/>
      <c r="FH14" s="110"/>
      <c r="FI14" s="110"/>
      <c r="FJ14" s="110"/>
      <c r="FK14" s="110"/>
      <c r="FL14" s="110"/>
      <c r="FM14" s="110"/>
      <c r="FN14" s="110"/>
      <c r="FP14" s="110"/>
      <c r="FQ14" s="110"/>
      <c r="FR14" s="110"/>
      <c r="FS14" s="110"/>
      <c r="FT14" s="110"/>
      <c r="FU14" s="110"/>
      <c r="FV14" s="110"/>
      <c r="FW14" s="110"/>
      <c r="FX14" s="110"/>
      <c r="FY14" s="110"/>
      <c r="FZ14" s="110"/>
      <c r="GA14" s="110"/>
      <c r="GB14" s="110"/>
    </row>
    <row r="15" spans="2:184" s="108" customFormat="1" ht="13.95" customHeight="1" x14ac:dyDescent="0.3">
      <c r="B15" s="109" t="s">
        <v>141</v>
      </c>
      <c r="D15" s="110"/>
      <c r="E15" s="110"/>
      <c r="F15" s="110"/>
      <c r="G15" s="110"/>
      <c r="H15" s="110"/>
      <c r="I15" s="110"/>
      <c r="J15" s="110"/>
      <c r="K15" s="110"/>
      <c r="L15" s="110"/>
      <c r="M15" s="110"/>
      <c r="N15" s="110"/>
      <c r="O15" s="110"/>
      <c r="P15" s="110"/>
      <c r="R15" s="110"/>
      <c r="S15" s="110"/>
      <c r="T15" s="110"/>
      <c r="U15" s="110"/>
      <c r="V15" s="110"/>
      <c r="W15" s="110"/>
      <c r="X15" s="110"/>
      <c r="Y15" s="110"/>
      <c r="Z15" s="110"/>
      <c r="AA15" s="110"/>
      <c r="AB15" s="110"/>
      <c r="AC15" s="110"/>
      <c r="AD15" s="110"/>
      <c r="AF15" s="110"/>
      <c r="AG15" s="110"/>
      <c r="AH15" s="110"/>
      <c r="AI15" s="110"/>
      <c r="AJ15" s="110"/>
      <c r="AK15" s="110"/>
      <c r="AL15" s="110"/>
      <c r="AM15" s="110"/>
      <c r="AN15" s="110"/>
      <c r="AO15" s="110"/>
      <c r="AP15" s="110"/>
      <c r="AQ15" s="110"/>
      <c r="AR15" s="110"/>
      <c r="AT15" s="110"/>
      <c r="AU15" s="110"/>
      <c r="AV15" s="110"/>
      <c r="AW15" s="110"/>
      <c r="AX15" s="110"/>
      <c r="AY15" s="110"/>
      <c r="AZ15" s="110"/>
      <c r="BA15" s="110"/>
      <c r="BB15" s="110"/>
      <c r="BC15" s="110"/>
      <c r="BD15" s="110"/>
      <c r="BE15" s="110"/>
      <c r="BF15" s="110"/>
      <c r="BH15" s="110"/>
      <c r="BI15" s="110"/>
      <c r="BJ15" s="110"/>
      <c r="BK15" s="110"/>
      <c r="BL15" s="110"/>
      <c r="BM15" s="110"/>
      <c r="BN15" s="110"/>
      <c r="BO15" s="110"/>
      <c r="BP15" s="110"/>
      <c r="BQ15" s="110"/>
      <c r="BR15" s="110"/>
      <c r="BS15" s="110"/>
      <c r="BT15" s="110"/>
      <c r="BV15" s="110"/>
      <c r="BW15" s="110"/>
      <c r="BX15" s="110"/>
      <c r="BY15" s="110"/>
      <c r="BZ15" s="110"/>
      <c r="CA15" s="110"/>
      <c r="CB15" s="110"/>
      <c r="CC15" s="110"/>
      <c r="CD15" s="110"/>
      <c r="CE15" s="110"/>
      <c r="CF15" s="110"/>
      <c r="CG15" s="110"/>
      <c r="CH15" s="110"/>
      <c r="CJ15" s="110"/>
      <c r="CK15" s="110"/>
      <c r="CL15" s="110"/>
      <c r="CM15" s="110"/>
      <c r="CN15" s="110"/>
      <c r="CO15" s="110"/>
      <c r="CP15" s="110"/>
      <c r="CQ15" s="110"/>
      <c r="CR15" s="110"/>
      <c r="CS15" s="110"/>
      <c r="CT15" s="110"/>
      <c r="CU15" s="110"/>
      <c r="CV15" s="110"/>
      <c r="CX15" s="110"/>
      <c r="CY15" s="110"/>
      <c r="CZ15" s="110"/>
      <c r="DA15" s="110"/>
      <c r="DB15" s="110"/>
      <c r="DC15" s="110"/>
      <c r="DD15" s="110"/>
      <c r="DE15" s="110"/>
      <c r="DF15" s="110"/>
      <c r="DG15" s="110"/>
      <c r="DH15" s="110"/>
      <c r="DI15" s="110"/>
      <c r="DJ15" s="110"/>
      <c r="DL15" s="110"/>
      <c r="DM15" s="110"/>
      <c r="DN15" s="110"/>
      <c r="DO15" s="110"/>
      <c r="DP15" s="110"/>
      <c r="DQ15" s="110"/>
      <c r="DR15" s="110"/>
      <c r="DS15" s="110"/>
      <c r="DT15" s="110"/>
      <c r="DU15" s="110"/>
      <c r="DV15" s="110"/>
      <c r="DW15" s="110"/>
      <c r="DX15" s="110"/>
      <c r="DZ15" s="110"/>
      <c r="EA15" s="110"/>
      <c r="EB15" s="110"/>
      <c r="EC15" s="110"/>
      <c r="ED15" s="110"/>
      <c r="EE15" s="110"/>
      <c r="EF15" s="110"/>
      <c r="EG15" s="110"/>
      <c r="EH15" s="110"/>
      <c r="EI15" s="110"/>
      <c r="EJ15" s="110"/>
      <c r="EK15" s="110"/>
      <c r="EL15" s="110"/>
      <c r="EN15" s="110"/>
      <c r="EO15" s="110"/>
      <c r="EP15" s="110"/>
      <c r="EQ15" s="110"/>
      <c r="ER15" s="110"/>
      <c r="ES15" s="110"/>
      <c r="ET15" s="110"/>
      <c r="EU15" s="110"/>
      <c r="EV15" s="110"/>
      <c r="EW15" s="110"/>
      <c r="EX15" s="110"/>
      <c r="EY15" s="110"/>
      <c r="EZ15" s="110"/>
      <c r="FB15" s="110"/>
      <c r="FC15" s="110"/>
      <c r="FD15" s="110"/>
      <c r="FE15" s="110"/>
      <c r="FF15" s="110"/>
      <c r="FG15" s="110"/>
      <c r="FH15" s="110"/>
      <c r="FI15" s="110"/>
      <c r="FJ15" s="110"/>
      <c r="FK15" s="110"/>
      <c r="FL15" s="110"/>
      <c r="FM15" s="110"/>
      <c r="FN15" s="110"/>
      <c r="FP15" s="110"/>
      <c r="FQ15" s="110"/>
      <c r="FR15" s="110"/>
      <c r="FS15" s="110"/>
      <c r="FT15" s="110"/>
      <c r="FU15" s="110"/>
      <c r="FV15" s="110"/>
      <c r="FW15" s="110"/>
      <c r="FX15" s="110"/>
      <c r="FY15" s="110"/>
      <c r="FZ15" s="110"/>
      <c r="GA15" s="110"/>
      <c r="GB15" s="110"/>
    </row>
    <row r="16" spans="2:184" s="108" customFormat="1" ht="13.95" hidden="1" customHeight="1" x14ac:dyDescent="0.3">
      <c r="B16" s="111" t="s">
        <v>15</v>
      </c>
      <c r="D16" s="110"/>
      <c r="E16" s="110"/>
      <c r="F16" s="110"/>
      <c r="G16" s="110"/>
      <c r="H16" s="110"/>
      <c r="I16" s="110"/>
      <c r="J16" s="110"/>
      <c r="K16" s="110"/>
      <c r="L16" s="110"/>
      <c r="M16" s="110"/>
      <c r="N16" s="110"/>
      <c r="O16" s="110"/>
      <c r="P16" s="110">
        <f t="shared" si="13"/>
        <v>0</v>
      </c>
      <c r="R16" s="110"/>
      <c r="S16" s="110"/>
      <c r="T16" s="110"/>
      <c r="U16" s="110"/>
      <c r="V16" s="110"/>
      <c r="W16" s="110"/>
      <c r="X16" s="110"/>
      <c r="Y16" s="110"/>
      <c r="Z16" s="110"/>
      <c r="AA16" s="110"/>
      <c r="AB16" s="110"/>
      <c r="AC16" s="110"/>
      <c r="AD16" s="110">
        <f>SUM(R16:AC16)</f>
        <v>0</v>
      </c>
      <c r="AF16" s="110"/>
      <c r="AG16" s="110"/>
      <c r="AH16" s="110"/>
      <c r="AI16" s="110"/>
      <c r="AJ16" s="110"/>
      <c r="AK16" s="110"/>
      <c r="AL16" s="110"/>
      <c r="AM16" s="110"/>
      <c r="AN16" s="110"/>
      <c r="AO16" s="110"/>
      <c r="AP16" s="110"/>
      <c r="AQ16" s="110"/>
      <c r="AR16" s="110">
        <f>SUM(AF16:AQ16)</f>
        <v>0</v>
      </c>
      <c r="AT16" s="110"/>
      <c r="AU16" s="110"/>
      <c r="AV16" s="110"/>
      <c r="AW16" s="110"/>
      <c r="AX16" s="110"/>
      <c r="AY16" s="110"/>
      <c r="AZ16" s="110"/>
      <c r="BA16" s="110"/>
      <c r="BB16" s="110"/>
      <c r="BC16" s="110"/>
      <c r="BD16" s="110"/>
      <c r="BE16" s="110"/>
      <c r="BF16" s="110">
        <f>SUM(AT16:BE16)</f>
        <v>0</v>
      </c>
      <c r="BH16" s="110"/>
      <c r="BI16" s="110"/>
      <c r="BJ16" s="110"/>
      <c r="BK16" s="110"/>
      <c r="BL16" s="110"/>
      <c r="BM16" s="110"/>
      <c r="BN16" s="110"/>
      <c r="BO16" s="110"/>
      <c r="BP16" s="110"/>
      <c r="BQ16" s="110"/>
      <c r="BR16" s="110"/>
      <c r="BS16" s="110"/>
      <c r="BT16" s="110">
        <f>SUM(BH16:BS16)</f>
        <v>0</v>
      </c>
      <c r="BV16" s="110"/>
      <c r="BW16" s="110"/>
      <c r="BX16" s="110"/>
      <c r="BY16" s="110"/>
      <c r="BZ16" s="110"/>
      <c r="CA16" s="110"/>
      <c r="CB16" s="110"/>
      <c r="CC16" s="110"/>
      <c r="CD16" s="110"/>
      <c r="CE16" s="110"/>
      <c r="CF16" s="110"/>
      <c r="CG16" s="110"/>
      <c r="CH16" s="110">
        <f>SUM(BV16:CG16)</f>
        <v>0</v>
      </c>
      <c r="CJ16" s="110"/>
      <c r="CK16" s="110"/>
      <c r="CL16" s="110"/>
      <c r="CM16" s="110"/>
      <c r="CN16" s="110"/>
      <c r="CO16" s="110"/>
      <c r="CP16" s="110"/>
      <c r="CQ16" s="110"/>
      <c r="CR16" s="110"/>
      <c r="CS16" s="110"/>
      <c r="CT16" s="110"/>
      <c r="CU16" s="110"/>
      <c r="CV16" s="110">
        <f>SUM(CJ16:CU16)</f>
        <v>0</v>
      </c>
      <c r="CX16" s="110"/>
      <c r="CY16" s="110"/>
      <c r="CZ16" s="110"/>
      <c r="DA16" s="110"/>
      <c r="DB16" s="110"/>
      <c r="DC16" s="110"/>
      <c r="DD16" s="110"/>
      <c r="DE16" s="110"/>
      <c r="DF16" s="110"/>
      <c r="DG16" s="110"/>
      <c r="DH16" s="110"/>
      <c r="DI16" s="110"/>
      <c r="DJ16" s="110">
        <f>SUM(CX16:DI16)</f>
        <v>0</v>
      </c>
      <c r="DL16" s="110"/>
      <c r="DM16" s="110"/>
      <c r="DN16" s="110"/>
      <c r="DO16" s="110"/>
      <c r="DP16" s="110"/>
      <c r="DQ16" s="110"/>
      <c r="DR16" s="110"/>
      <c r="DS16" s="110"/>
      <c r="DT16" s="110"/>
      <c r="DU16" s="110"/>
      <c r="DV16" s="110"/>
      <c r="DW16" s="110"/>
      <c r="DX16" s="110">
        <f>SUM(DL16:DW16)</f>
        <v>0</v>
      </c>
      <c r="DZ16" s="110"/>
      <c r="EA16" s="110"/>
      <c r="EB16" s="110"/>
      <c r="EC16" s="110"/>
      <c r="ED16" s="110"/>
      <c r="EE16" s="110"/>
      <c r="EF16" s="110"/>
      <c r="EG16" s="110"/>
      <c r="EH16" s="110"/>
      <c r="EI16" s="110"/>
      <c r="EJ16" s="110"/>
      <c r="EK16" s="110"/>
      <c r="EL16" s="110">
        <f>SUM(DZ16:EK16)</f>
        <v>0</v>
      </c>
      <c r="EN16" s="110"/>
      <c r="EO16" s="110"/>
      <c r="EP16" s="110"/>
      <c r="EQ16" s="110"/>
      <c r="ER16" s="110"/>
      <c r="ES16" s="110"/>
      <c r="ET16" s="110"/>
      <c r="EU16" s="110"/>
      <c r="EV16" s="110"/>
      <c r="EW16" s="110"/>
      <c r="EX16" s="110"/>
      <c r="EY16" s="110"/>
      <c r="EZ16" s="110">
        <f>SUM(EN16:EY16)</f>
        <v>0</v>
      </c>
      <c r="FB16" s="110"/>
      <c r="FC16" s="110"/>
      <c r="FD16" s="110"/>
      <c r="FE16" s="110"/>
      <c r="FF16" s="110"/>
      <c r="FG16" s="110"/>
      <c r="FH16" s="110"/>
      <c r="FI16" s="110"/>
      <c r="FJ16" s="110"/>
      <c r="FK16" s="110"/>
      <c r="FL16" s="110"/>
      <c r="FM16" s="110"/>
      <c r="FN16" s="110">
        <f>SUM(FB16:FM16)</f>
        <v>0</v>
      </c>
      <c r="FP16" s="110"/>
      <c r="FQ16" s="110"/>
      <c r="FR16" s="110"/>
      <c r="FS16" s="110"/>
      <c r="FT16" s="110"/>
      <c r="FU16" s="110"/>
      <c r="FV16" s="110"/>
      <c r="FW16" s="110"/>
      <c r="FX16" s="110"/>
      <c r="FY16" s="110"/>
      <c r="FZ16" s="110"/>
      <c r="GA16" s="110"/>
      <c r="GB16" s="110">
        <f>SUM(FP16:GA16)</f>
        <v>0</v>
      </c>
    </row>
    <row r="17" spans="2:184" s="108" customFormat="1" ht="13.95" hidden="1" customHeight="1" x14ac:dyDescent="0.3">
      <c r="B17" s="111" t="s">
        <v>15</v>
      </c>
      <c r="D17" s="110"/>
      <c r="E17" s="110"/>
      <c r="F17" s="110"/>
      <c r="G17" s="110"/>
      <c r="H17" s="110"/>
      <c r="I17" s="110"/>
      <c r="J17" s="110"/>
      <c r="K17" s="110"/>
      <c r="L17" s="110"/>
      <c r="M17" s="110"/>
      <c r="N17" s="110"/>
      <c r="O17" s="110"/>
      <c r="P17" s="110">
        <f t="shared" si="13"/>
        <v>0</v>
      </c>
      <c r="R17" s="110"/>
      <c r="S17" s="110"/>
      <c r="T17" s="110"/>
      <c r="U17" s="110"/>
      <c r="V17" s="110"/>
      <c r="W17" s="110"/>
      <c r="X17" s="110"/>
      <c r="Y17" s="110"/>
      <c r="Z17" s="110"/>
      <c r="AA17" s="110"/>
      <c r="AB17" s="110"/>
      <c r="AC17" s="110"/>
      <c r="AD17" s="110">
        <f>SUM(R17:AC17)</f>
        <v>0</v>
      </c>
      <c r="AF17" s="110"/>
      <c r="AG17" s="110"/>
      <c r="AH17" s="110"/>
      <c r="AI17" s="110"/>
      <c r="AJ17" s="110"/>
      <c r="AK17" s="110"/>
      <c r="AL17" s="110"/>
      <c r="AM17" s="110"/>
      <c r="AN17" s="110"/>
      <c r="AO17" s="110"/>
      <c r="AP17" s="110"/>
      <c r="AQ17" s="110"/>
      <c r="AR17" s="110">
        <f>SUM(AF17:AQ17)</f>
        <v>0</v>
      </c>
      <c r="AT17" s="110"/>
      <c r="AU17" s="110"/>
      <c r="AV17" s="110"/>
      <c r="AW17" s="110"/>
      <c r="AX17" s="110"/>
      <c r="AY17" s="110"/>
      <c r="AZ17" s="110"/>
      <c r="BA17" s="110"/>
      <c r="BB17" s="110"/>
      <c r="BC17" s="110"/>
      <c r="BD17" s="110"/>
      <c r="BE17" s="110"/>
      <c r="BF17" s="110">
        <f>SUM(AT17:BE17)</f>
        <v>0</v>
      </c>
      <c r="BH17" s="110"/>
      <c r="BI17" s="110"/>
      <c r="BJ17" s="110"/>
      <c r="BK17" s="110"/>
      <c r="BL17" s="110"/>
      <c r="BM17" s="110"/>
      <c r="BN17" s="110"/>
      <c r="BO17" s="110"/>
      <c r="BP17" s="110"/>
      <c r="BQ17" s="110"/>
      <c r="BR17" s="110"/>
      <c r="BS17" s="110"/>
      <c r="BT17" s="110">
        <f>SUM(BH17:BS17)</f>
        <v>0</v>
      </c>
      <c r="BV17" s="110"/>
      <c r="BW17" s="110"/>
      <c r="BX17" s="110"/>
      <c r="BY17" s="110"/>
      <c r="BZ17" s="110"/>
      <c r="CA17" s="110"/>
      <c r="CB17" s="110"/>
      <c r="CC17" s="110"/>
      <c r="CD17" s="110"/>
      <c r="CE17" s="110"/>
      <c r="CF17" s="110"/>
      <c r="CG17" s="110"/>
      <c r="CH17" s="110">
        <f>SUM(BV17:CG17)</f>
        <v>0</v>
      </c>
      <c r="CJ17" s="110"/>
      <c r="CK17" s="110"/>
      <c r="CL17" s="110"/>
      <c r="CM17" s="110"/>
      <c r="CN17" s="110"/>
      <c r="CO17" s="110"/>
      <c r="CP17" s="110"/>
      <c r="CQ17" s="110"/>
      <c r="CR17" s="110"/>
      <c r="CS17" s="110"/>
      <c r="CT17" s="110"/>
      <c r="CU17" s="110"/>
      <c r="CV17" s="110">
        <f>SUM(CJ17:CU17)</f>
        <v>0</v>
      </c>
      <c r="CX17" s="110"/>
      <c r="CY17" s="110"/>
      <c r="CZ17" s="110"/>
      <c r="DA17" s="110"/>
      <c r="DB17" s="110"/>
      <c r="DC17" s="110"/>
      <c r="DD17" s="110"/>
      <c r="DE17" s="110"/>
      <c r="DF17" s="110"/>
      <c r="DG17" s="110"/>
      <c r="DH17" s="110"/>
      <c r="DI17" s="110"/>
      <c r="DJ17" s="110">
        <f>SUM(CX17:DI17)</f>
        <v>0</v>
      </c>
      <c r="DL17" s="110"/>
      <c r="DM17" s="110"/>
      <c r="DN17" s="110"/>
      <c r="DO17" s="110"/>
      <c r="DP17" s="110"/>
      <c r="DQ17" s="110"/>
      <c r="DR17" s="110"/>
      <c r="DS17" s="110"/>
      <c r="DT17" s="110"/>
      <c r="DU17" s="110"/>
      <c r="DV17" s="110"/>
      <c r="DW17" s="110"/>
      <c r="DX17" s="110">
        <f>SUM(DL17:DW17)</f>
        <v>0</v>
      </c>
      <c r="DZ17" s="110"/>
      <c r="EA17" s="110"/>
      <c r="EB17" s="110"/>
      <c r="EC17" s="110"/>
      <c r="ED17" s="110"/>
      <c r="EE17" s="110"/>
      <c r="EF17" s="110"/>
      <c r="EG17" s="110"/>
      <c r="EH17" s="110"/>
      <c r="EI17" s="110"/>
      <c r="EJ17" s="110"/>
      <c r="EK17" s="110"/>
      <c r="EL17" s="110">
        <f>SUM(DZ17:EK17)</f>
        <v>0</v>
      </c>
      <c r="EN17" s="110"/>
      <c r="EO17" s="110"/>
      <c r="EP17" s="110"/>
      <c r="EQ17" s="110"/>
      <c r="ER17" s="110"/>
      <c r="ES17" s="110"/>
      <c r="ET17" s="110"/>
      <c r="EU17" s="110"/>
      <c r="EV17" s="110"/>
      <c r="EW17" s="110"/>
      <c r="EX17" s="110"/>
      <c r="EY17" s="110"/>
      <c r="EZ17" s="110">
        <f>SUM(EN17:EY17)</f>
        <v>0</v>
      </c>
      <c r="FB17" s="110"/>
      <c r="FC17" s="110"/>
      <c r="FD17" s="110"/>
      <c r="FE17" s="110"/>
      <c r="FF17" s="110"/>
      <c r="FG17" s="110"/>
      <c r="FH17" s="110"/>
      <c r="FI17" s="110"/>
      <c r="FJ17" s="110"/>
      <c r="FK17" s="110"/>
      <c r="FL17" s="110"/>
      <c r="FM17" s="110"/>
      <c r="FN17" s="110">
        <f>SUM(FB17:FM17)</f>
        <v>0</v>
      </c>
      <c r="FP17" s="110"/>
      <c r="FQ17" s="110"/>
      <c r="FR17" s="110"/>
      <c r="FS17" s="110"/>
      <c r="FT17" s="110"/>
      <c r="FU17" s="110"/>
      <c r="FV17" s="110"/>
      <c r="FW17" s="110"/>
      <c r="FX17" s="110"/>
      <c r="FY17" s="110"/>
      <c r="FZ17" s="110"/>
      <c r="GA17" s="110"/>
      <c r="GB17" s="110">
        <f>SUM(FP17:GA17)</f>
        <v>0</v>
      </c>
    </row>
    <row r="18" spans="2:184" s="108" customFormat="1" ht="13.95" hidden="1" customHeight="1" x14ac:dyDescent="0.3">
      <c r="B18" s="111" t="s">
        <v>15</v>
      </c>
      <c r="D18" s="110"/>
      <c r="E18" s="110"/>
      <c r="F18" s="110"/>
      <c r="G18" s="110"/>
      <c r="H18" s="110"/>
      <c r="I18" s="110"/>
      <c r="J18" s="110"/>
      <c r="K18" s="110"/>
      <c r="L18" s="110"/>
      <c r="M18" s="110"/>
      <c r="N18" s="110"/>
      <c r="O18" s="110"/>
      <c r="P18" s="110">
        <f t="shared" si="13"/>
        <v>0</v>
      </c>
      <c r="R18" s="110"/>
      <c r="S18" s="110"/>
      <c r="T18" s="110"/>
      <c r="U18" s="110"/>
      <c r="V18" s="110"/>
      <c r="W18" s="110"/>
      <c r="X18" s="110"/>
      <c r="Y18" s="110"/>
      <c r="Z18" s="110"/>
      <c r="AA18" s="110"/>
      <c r="AB18" s="110"/>
      <c r="AC18" s="110"/>
      <c r="AD18" s="110">
        <f>SUM(R18:AC18)</f>
        <v>0</v>
      </c>
      <c r="AF18" s="110"/>
      <c r="AG18" s="110"/>
      <c r="AH18" s="110"/>
      <c r="AI18" s="110"/>
      <c r="AJ18" s="110"/>
      <c r="AK18" s="110"/>
      <c r="AL18" s="110"/>
      <c r="AM18" s="110"/>
      <c r="AN18" s="110"/>
      <c r="AO18" s="110"/>
      <c r="AP18" s="110"/>
      <c r="AQ18" s="110"/>
      <c r="AR18" s="110">
        <f>SUM(AF18:AQ18)</f>
        <v>0</v>
      </c>
      <c r="AT18" s="110"/>
      <c r="AU18" s="110"/>
      <c r="AV18" s="110"/>
      <c r="AW18" s="110"/>
      <c r="AX18" s="110"/>
      <c r="AY18" s="110"/>
      <c r="AZ18" s="110"/>
      <c r="BA18" s="110"/>
      <c r="BB18" s="110"/>
      <c r="BC18" s="110"/>
      <c r="BD18" s="110"/>
      <c r="BE18" s="110"/>
      <c r="BF18" s="110">
        <f>SUM(AT18:BE18)</f>
        <v>0</v>
      </c>
      <c r="BH18" s="110"/>
      <c r="BI18" s="110"/>
      <c r="BJ18" s="110"/>
      <c r="BK18" s="110"/>
      <c r="BL18" s="110"/>
      <c r="BM18" s="110"/>
      <c r="BN18" s="110"/>
      <c r="BO18" s="110"/>
      <c r="BP18" s="110"/>
      <c r="BQ18" s="110"/>
      <c r="BR18" s="110"/>
      <c r="BS18" s="110"/>
      <c r="BT18" s="110">
        <f>SUM(BH18:BS18)</f>
        <v>0</v>
      </c>
      <c r="BV18" s="110"/>
      <c r="BW18" s="110"/>
      <c r="BX18" s="110"/>
      <c r="BY18" s="110"/>
      <c r="BZ18" s="110"/>
      <c r="CA18" s="110"/>
      <c r="CB18" s="110"/>
      <c r="CC18" s="110"/>
      <c r="CD18" s="110"/>
      <c r="CE18" s="110"/>
      <c r="CF18" s="110"/>
      <c r="CG18" s="110"/>
      <c r="CH18" s="110">
        <f>SUM(BV18:CG18)</f>
        <v>0</v>
      </c>
      <c r="CJ18" s="110"/>
      <c r="CK18" s="110"/>
      <c r="CL18" s="110"/>
      <c r="CM18" s="110"/>
      <c r="CN18" s="110"/>
      <c r="CO18" s="110"/>
      <c r="CP18" s="110"/>
      <c r="CQ18" s="110"/>
      <c r="CR18" s="110"/>
      <c r="CS18" s="110"/>
      <c r="CT18" s="110"/>
      <c r="CU18" s="110"/>
      <c r="CV18" s="110">
        <f>SUM(CJ18:CU18)</f>
        <v>0</v>
      </c>
      <c r="CX18" s="110"/>
      <c r="CY18" s="110"/>
      <c r="CZ18" s="110"/>
      <c r="DA18" s="110"/>
      <c r="DB18" s="110"/>
      <c r="DC18" s="110"/>
      <c r="DD18" s="110"/>
      <c r="DE18" s="110"/>
      <c r="DF18" s="110"/>
      <c r="DG18" s="110"/>
      <c r="DH18" s="110"/>
      <c r="DI18" s="110"/>
      <c r="DJ18" s="110">
        <f>SUM(CX18:DI18)</f>
        <v>0</v>
      </c>
      <c r="DL18" s="110"/>
      <c r="DM18" s="110"/>
      <c r="DN18" s="110"/>
      <c r="DO18" s="110"/>
      <c r="DP18" s="110"/>
      <c r="DQ18" s="110"/>
      <c r="DR18" s="110"/>
      <c r="DS18" s="110"/>
      <c r="DT18" s="110"/>
      <c r="DU18" s="110"/>
      <c r="DV18" s="110"/>
      <c r="DW18" s="110"/>
      <c r="DX18" s="110">
        <f>SUM(DL18:DW18)</f>
        <v>0</v>
      </c>
      <c r="DZ18" s="110"/>
      <c r="EA18" s="110"/>
      <c r="EB18" s="110"/>
      <c r="EC18" s="110"/>
      <c r="ED18" s="110"/>
      <c r="EE18" s="110"/>
      <c r="EF18" s="110"/>
      <c r="EG18" s="110"/>
      <c r="EH18" s="110"/>
      <c r="EI18" s="110"/>
      <c r="EJ18" s="110"/>
      <c r="EK18" s="110"/>
      <c r="EL18" s="110">
        <f>SUM(DZ18:EK18)</f>
        <v>0</v>
      </c>
      <c r="EN18" s="110"/>
      <c r="EO18" s="110"/>
      <c r="EP18" s="110"/>
      <c r="EQ18" s="110"/>
      <c r="ER18" s="110"/>
      <c r="ES18" s="110"/>
      <c r="ET18" s="110"/>
      <c r="EU18" s="110"/>
      <c r="EV18" s="110"/>
      <c r="EW18" s="110"/>
      <c r="EX18" s="110"/>
      <c r="EY18" s="110"/>
      <c r="EZ18" s="110">
        <f>SUM(EN18:EY18)</f>
        <v>0</v>
      </c>
      <c r="FB18" s="110"/>
      <c r="FC18" s="110"/>
      <c r="FD18" s="110"/>
      <c r="FE18" s="110"/>
      <c r="FF18" s="110"/>
      <c r="FG18" s="110"/>
      <c r="FH18" s="110"/>
      <c r="FI18" s="110"/>
      <c r="FJ18" s="110"/>
      <c r="FK18" s="110"/>
      <c r="FL18" s="110"/>
      <c r="FM18" s="110"/>
      <c r="FN18" s="110">
        <f>SUM(FB18:FM18)</f>
        <v>0</v>
      </c>
      <c r="FP18" s="110"/>
      <c r="FQ18" s="110"/>
      <c r="FR18" s="110"/>
      <c r="FS18" s="110"/>
      <c r="FT18" s="110"/>
      <c r="FU18" s="110"/>
      <c r="FV18" s="110"/>
      <c r="FW18" s="110"/>
      <c r="FX18" s="110"/>
      <c r="FY18" s="110"/>
      <c r="FZ18" s="110"/>
      <c r="GA18" s="110"/>
      <c r="GB18" s="110">
        <f>SUM(FP18:GA18)</f>
        <v>0</v>
      </c>
    </row>
    <row r="19" spans="2:184" s="108" customFormat="1" ht="13.95" hidden="1" customHeight="1" x14ac:dyDescent="0.3">
      <c r="B19" s="111" t="s">
        <v>15</v>
      </c>
      <c r="D19" s="110"/>
      <c r="E19" s="110"/>
      <c r="F19" s="110"/>
      <c r="G19" s="110"/>
      <c r="H19" s="110"/>
      <c r="I19" s="110"/>
      <c r="J19" s="110"/>
      <c r="K19" s="110"/>
      <c r="L19" s="110"/>
      <c r="M19" s="110"/>
      <c r="N19" s="110"/>
      <c r="O19" s="110"/>
      <c r="P19" s="110">
        <f t="shared" si="13"/>
        <v>0</v>
      </c>
      <c r="R19" s="110"/>
      <c r="S19" s="110"/>
      <c r="T19" s="110"/>
      <c r="U19" s="110"/>
      <c r="V19" s="110"/>
      <c r="W19" s="110"/>
      <c r="X19" s="110"/>
      <c r="Y19" s="110"/>
      <c r="Z19" s="110"/>
      <c r="AA19" s="110"/>
      <c r="AB19" s="110"/>
      <c r="AC19" s="110"/>
      <c r="AD19" s="110">
        <f>SUM(R19:AC19)</f>
        <v>0</v>
      </c>
      <c r="AF19" s="110"/>
      <c r="AG19" s="110"/>
      <c r="AH19" s="110"/>
      <c r="AI19" s="110"/>
      <c r="AJ19" s="110"/>
      <c r="AK19" s="110"/>
      <c r="AL19" s="110"/>
      <c r="AM19" s="110"/>
      <c r="AN19" s="110"/>
      <c r="AO19" s="110"/>
      <c r="AP19" s="110"/>
      <c r="AQ19" s="110"/>
      <c r="AR19" s="110">
        <f>SUM(AF19:AQ19)</f>
        <v>0</v>
      </c>
      <c r="AT19" s="110"/>
      <c r="AU19" s="110"/>
      <c r="AV19" s="110"/>
      <c r="AW19" s="110"/>
      <c r="AX19" s="110"/>
      <c r="AY19" s="110"/>
      <c r="AZ19" s="110"/>
      <c r="BA19" s="110"/>
      <c r="BB19" s="110"/>
      <c r="BC19" s="110"/>
      <c r="BD19" s="110"/>
      <c r="BE19" s="110"/>
      <c r="BF19" s="110">
        <f>SUM(AT19:BE19)</f>
        <v>0</v>
      </c>
      <c r="BH19" s="110"/>
      <c r="BI19" s="110"/>
      <c r="BJ19" s="110"/>
      <c r="BK19" s="110"/>
      <c r="BL19" s="110"/>
      <c r="BM19" s="110"/>
      <c r="BN19" s="110"/>
      <c r="BO19" s="110"/>
      <c r="BP19" s="110"/>
      <c r="BQ19" s="110"/>
      <c r="BR19" s="110"/>
      <c r="BS19" s="110"/>
      <c r="BT19" s="110">
        <f>SUM(BH19:BS19)</f>
        <v>0</v>
      </c>
      <c r="BV19" s="110"/>
      <c r="BW19" s="110"/>
      <c r="BX19" s="110"/>
      <c r="BY19" s="110"/>
      <c r="BZ19" s="110"/>
      <c r="CA19" s="110"/>
      <c r="CB19" s="110"/>
      <c r="CC19" s="110"/>
      <c r="CD19" s="110"/>
      <c r="CE19" s="110"/>
      <c r="CF19" s="110"/>
      <c r="CG19" s="110"/>
      <c r="CH19" s="110">
        <f>SUM(BV19:CG19)</f>
        <v>0</v>
      </c>
      <c r="CJ19" s="110"/>
      <c r="CK19" s="110"/>
      <c r="CL19" s="110"/>
      <c r="CM19" s="110"/>
      <c r="CN19" s="110"/>
      <c r="CO19" s="110"/>
      <c r="CP19" s="110"/>
      <c r="CQ19" s="110"/>
      <c r="CR19" s="110"/>
      <c r="CS19" s="110"/>
      <c r="CT19" s="110"/>
      <c r="CU19" s="110"/>
      <c r="CV19" s="110">
        <f>SUM(CJ19:CU19)</f>
        <v>0</v>
      </c>
      <c r="CX19" s="110"/>
      <c r="CY19" s="110"/>
      <c r="CZ19" s="110"/>
      <c r="DA19" s="110"/>
      <c r="DB19" s="110"/>
      <c r="DC19" s="110"/>
      <c r="DD19" s="110"/>
      <c r="DE19" s="110"/>
      <c r="DF19" s="110"/>
      <c r="DG19" s="110"/>
      <c r="DH19" s="110"/>
      <c r="DI19" s="110"/>
      <c r="DJ19" s="110">
        <f>SUM(CX19:DI19)</f>
        <v>0</v>
      </c>
      <c r="DL19" s="110"/>
      <c r="DM19" s="110"/>
      <c r="DN19" s="110"/>
      <c r="DO19" s="110"/>
      <c r="DP19" s="110"/>
      <c r="DQ19" s="110"/>
      <c r="DR19" s="110"/>
      <c r="DS19" s="110"/>
      <c r="DT19" s="110"/>
      <c r="DU19" s="110"/>
      <c r="DV19" s="110"/>
      <c r="DW19" s="110"/>
      <c r="DX19" s="110">
        <f>SUM(DL19:DW19)</f>
        <v>0</v>
      </c>
      <c r="DZ19" s="110"/>
      <c r="EA19" s="110"/>
      <c r="EB19" s="110"/>
      <c r="EC19" s="110"/>
      <c r="ED19" s="110"/>
      <c r="EE19" s="110"/>
      <c r="EF19" s="110"/>
      <c r="EG19" s="110"/>
      <c r="EH19" s="110"/>
      <c r="EI19" s="110"/>
      <c r="EJ19" s="110"/>
      <c r="EK19" s="110"/>
      <c r="EL19" s="110">
        <f>SUM(DZ19:EK19)</f>
        <v>0</v>
      </c>
      <c r="EN19" s="110"/>
      <c r="EO19" s="110"/>
      <c r="EP19" s="110"/>
      <c r="EQ19" s="110"/>
      <c r="ER19" s="110"/>
      <c r="ES19" s="110"/>
      <c r="ET19" s="110"/>
      <c r="EU19" s="110"/>
      <c r="EV19" s="110"/>
      <c r="EW19" s="110"/>
      <c r="EX19" s="110"/>
      <c r="EY19" s="110"/>
      <c r="EZ19" s="110">
        <f>SUM(EN19:EY19)</f>
        <v>0</v>
      </c>
      <c r="FB19" s="110"/>
      <c r="FC19" s="110"/>
      <c r="FD19" s="110"/>
      <c r="FE19" s="110"/>
      <c r="FF19" s="110"/>
      <c r="FG19" s="110"/>
      <c r="FH19" s="110"/>
      <c r="FI19" s="110"/>
      <c r="FJ19" s="110"/>
      <c r="FK19" s="110"/>
      <c r="FL19" s="110"/>
      <c r="FM19" s="110"/>
      <c r="FN19" s="110">
        <f>SUM(FB19:FM19)</f>
        <v>0</v>
      </c>
      <c r="FP19" s="110"/>
      <c r="FQ19" s="110"/>
      <c r="FR19" s="110"/>
      <c r="FS19" s="110"/>
      <c r="FT19" s="110"/>
      <c r="FU19" s="110"/>
      <c r="FV19" s="110"/>
      <c r="FW19" s="110"/>
      <c r="FX19" s="110"/>
      <c r="FY19" s="110"/>
      <c r="FZ19" s="110"/>
      <c r="GA19" s="110"/>
      <c r="GB19" s="110">
        <f>SUM(FP19:GA19)</f>
        <v>0</v>
      </c>
    </row>
    <row r="20" spans="2:184" s="108" customFormat="1" ht="13.95" hidden="1" customHeight="1" x14ac:dyDescent="0.3">
      <c r="B20" s="111" t="s">
        <v>15</v>
      </c>
      <c r="D20" s="112"/>
      <c r="E20" s="112"/>
      <c r="F20" s="112"/>
      <c r="G20" s="112"/>
      <c r="H20" s="112"/>
      <c r="I20" s="112"/>
      <c r="J20" s="112"/>
      <c r="K20" s="112"/>
      <c r="L20" s="112"/>
      <c r="M20" s="112"/>
      <c r="N20" s="112"/>
      <c r="O20" s="112"/>
      <c r="P20" s="110">
        <f t="shared" si="13"/>
        <v>0</v>
      </c>
      <c r="R20" s="112"/>
      <c r="S20" s="112"/>
      <c r="T20" s="112"/>
      <c r="U20" s="112"/>
      <c r="V20" s="112"/>
      <c r="W20" s="112"/>
      <c r="X20" s="112"/>
      <c r="Y20" s="112"/>
      <c r="Z20" s="112"/>
      <c r="AA20" s="112"/>
      <c r="AB20" s="112"/>
      <c r="AC20" s="112"/>
      <c r="AD20" s="110">
        <f>SUM(R20:AC20)</f>
        <v>0</v>
      </c>
      <c r="AF20" s="112"/>
      <c r="AG20" s="112"/>
      <c r="AH20" s="112"/>
      <c r="AI20" s="112"/>
      <c r="AJ20" s="112"/>
      <c r="AK20" s="112"/>
      <c r="AL20" s="112"/>
      <c r="AM20" s="112"/>
      <c r="AN20" s="112"/>
      <c r="AO20" s="112"/>
      <c r="AP20" s="112"/>
      <c r="AQ20" s="112"/>
      <c r="AR20" s="110">
        <f>SUM(AF20:AQ20)</f>
        <v>0</v>
      </c>
      <c r="AT20" s="112"/>
      <c r="AU20" s="112"/>
      <c r="AV20" s="112"/>
      <c r="AW20" s="112"/>
      <c r="AX20" s="112"/>
      <c r="AY20" s="112"/>
      <c r="AZ20" s="112"/>
      <c r="BA20" s="112"/>
      <c r="BB20" s="112"/>
      <c r="BC20" s="112"/>
      <c r="BD20" s="112"/>
      <c r="BE20" s="112"/>
      <c r="BF20" s="110">
        <f>SUM(AT20:BE20)</f>
        <v>0</v>
      </c>
      <c r="BH20" s="112"/>
      <c r="BI20" s="112"/>
      <c r="BJ20" s="112"/>
      <c r="BK20" s="112"/>
      <c r="BL20" s="112"/>
      <c r="BM20" s="112"/>
      <c r="BN20" s="112"/>
      <c r="BO20" s="112"/>
      <c r="BP20" s="112"/>
      <c r="BQ20" s="112"/>
      <c r="BR20" s="112"/>
      <c r="BS20" s="112"/>
      <c r="BT20" s="110">
        <f>SUM(BH20:BS20)</f>
        <v>0</v>
      </c>
      <c r="BV20" s="112"/>
      <c r="BW20" s="112"/>
      <c r="BX20" s="112"/>
      <c r="BY20" s="112"/>
      <c r="BZ20" s="112"/>
      <c r="CA20" s="112"/>
      <c r="CB20" s="112"/>
      <c r="CC20" s="112"/>
      <c r="CD20" s="112"/>
      <c r="CE20" s="112"/>
      <c r="CF20" s="112"/>
      <c r="CG20" s="112"/>
      <c r="CH20" s="110">
        <f>SUM(BV20:CG20)</f>
        <v>0</v>
      </c>
      <c r="CJ20" s="112"/>
      <c r="CK20" s="112"/>
      <c r="CL20" s="112"/>
      <c r="CM20" s="112"/>
      <c r="CN20" s="112"/>
      <c r="CO20" s="112"/>
      <c r="CP20" s="112"/>
      <c r="CQ20" s="112"/>
      <c r="CR20" s="112"/>
      <c r="CS20" s="112"/>
      <c r="CT20" s="112"/>
      <c r="CU20" s="112"/>
      <c r="CV20" s="110">
        <f>SUM(CJ20:CU20)</f>
        <v>0</v>
      </c>
      <c r="CX20" s="112"/>
      <c r="CY20" s="112"/>
      <c r="CZ20" s="112"/>
      <c r="DA20" s="112"/>
      <c r="DB20" s="112"/>
      <c r="DC20" s="112"/>
      <c r="DD20" s="112"/>
      <c r="DE20" s="112"/>
      <c r="DF20" s="112"/>
      <c r="DG20" s="112"/>
      <c r="DH20" s="112"/>
      <c r="DI20" s="112"/>
      <c r="DJ20" s="110">
        <f>SUM(CX20:DI20)</f>
        <v>0</v>
      </c>
      <c r="DL20" s="112"/>
      <c r="DM20" s="112"/>
      <c r="DN20" s="112"/>
      <c r="DO20" s="112"/>
      <c r="DP20" s="112"/>
      <c r="DQ20" s="112"/>
      <c r="DR20" s="112"/>
      <c r="DS20" s="112"/>
      <c r="DT20" s="112"/>
      <c r="DU20" s="112"/>
      <c r="DV20" s="112"/>
      <c r="DW20" s="112"/>
      <c r="DX20" s="110">
        <f>SUM(DL20:DW20)</f>
        <v>0</v>
      </c>
      <c r="DZ20" s="112"/>
      <c r="EA20" s="112"/>
      <c r="EB20" s="112"/>
      <c r="EC20" s="112"/>
      <c r="ED20" s="112"/>
      <c r="EE20" s="112"/>
      <c r="EF20" s="112"/>
      <c r="EG20" s="112"/>
      <c r="EH20" s="112"/>
      <c r="EI20" s="112"/>
      <c r="EJ20" s="112"/>
      <c r="EK20" s="112"/>
      <c r="EL20" s="110">
        <f>SUM(DZ20:EK20)</f>
        <v>0</v>
      </c>
      <c r="EN20" s="112"/>
      <c r="EO20" s="112"/>
      <c r="EP20" s="112"/>
      <c r="EQ20" s="112"/>
      <c r="ER20" s="112"/>
      <c r="ES20" s="112"/>
      <c r="ET20" s="112"/>
      <c r="EU20" s="112"/>
      <c r="EV20" s="112"/>
      <c r="EW20" s="112"/>
      <c r="EX20" s="112"/>
      <c r="EY20" s="112"/>
      <c r="EZ20" s="110">
        <f>SUM(EN20:EY20)</f>
        <v>0</v>
      </c>
      <c r="FB20" s="112"/>
      <c r="FC20" s="112"/>
      <c r="FD20" s="112"/>
      <c r="FE20" s="112"/>
      <c r="FF20" s="112"/>
      <c r="FG20" s="112"/>
      <c r="FH20" s="112"/>
      <c r="FI20" s="112"/>
      <c r="FJ20" s="112"/>
      <c r="FK20" s="112"/>
      <c r="FL20" s="112"/>
      <c r="FM20" s="112"/>
      <c r="FN20" s="110">
        <f>SUM(FB20:FM20)</f>
        <v>0</v>
      </c>
      <c r="FP20" s="112"/>
      <c r="FQ20" s="112"/>
      <c r="FR20" s="112"/>
      <c r="FS20" s="112"/>
      <c r="FT20" s="112"/>
      <c r="FU20" s="112"/>
      <c r="FV20" s="112"/>
      <c r="FW20" s="112"/>
      <c r="FX20" s="112"/>
      <c r="FY20" s="112"/>
      <c r="FZ20" s="112"/>
      <c r="GA20" s="112"/>
      <c r="GB20" s="110">
        <f>SUM(FP20:GA20)</f>
        <v>0</v>
      </c>
    </row>
    <row r="21" spans="2:184" s="108" customFormat="1" ht="13.95" customHeight="1" x14ac:dyDescent="0.3">
      <c r="B21" s="113" t="s">
        <v>16</v>
      </c>
      <c r="C21" s="114"/>
      <c r="D21" s="115" cm="1">
        <f t="array" aca="1" ref="D21" ca="1">SUM(INDIRECT(ADDRESS(income_min_row,COLUMN())&amp;":"&amp;ADDRESS(income_max_row,COLUMN())))</f>
        <v>170000</v>
      </c>
      <c r="E21" s="115" cm="1">
        <f t="array" aca="1" ref="E21" ca="1">SUM(INDIRECT(ADDRESS(income_min_row,COLUMN())&amp;":"&amp;ADDRESS(income_max_row,COLUMN())))</f>
        <v>170000</v>
      </c>
      <c r="F21" s="115" cm="1">
        <f t="array" aca="1" ref="F21" ca="1">SUM(INDIRECT(ADDRESS(income_min_row,COLUMN())&amp;":"&amp;ADDRESS(income_max_row,COLUMN())))</f>
        <v>170000</v>
      </c>
      <c r="G21" s="115" cm="1">
        <f t="array" aca="1" ref="G21" ca="1">SUM(INDIRECT(ADDRESS(income_min_row,COLUMN())&amp;":"&amp;ADDRESS(income_max_row,COLUMN())))</f>
        <v>170000</v>
      </c>
      <c r="H21" s="115" cm="1">
        <f t="array" aca="1" ref="H21" ca="1">SUM(INDIRECT(ADDRESS(income_min_row,COLUMN())&amp;":"&amp;ADDRESS(income_max_row,COLUMN())))</f>
        <v>170000</v>
      </c>
      <c r="I21" s="115" cm="1">
        <f t="array" aca="1" ref="I21" ca="1">SUM(INDIRECT(ADDRESS(income_min_row,COLUMN())&amp;":"&amp;ADDRESS(income_max_row,COLUMN())))</f>
        <v>170000</v>
      </c>
      <c r="J21" s="115" cm="1">
        <f t="array" aca="1" ref="J21" ca="1">SUM(INDIRECT(ADDRESS(income_min_row,COLUMN())&amp;":"&amp;ADDRESS(income_max_row,COLUMN())))</f>
        <v>170000</v>
      </c>
      <c r="K21" s="115" cm="1">
        <f t="array" aca="1" ref="K21" ca="1">SUM(INDIRECT(ADDRESS(income_min_row,COLUMN())&amp;":"&amp;ADDRESS(income_max_row,COLUMN())))</f>
        <v>170000</v>
      </c>
      <c r="L21" s="115" cm="1">
        <f t="array" aca="1" ref="L21" ca="1">SUM(INDIRECT(ADDRESS(income_min_row,COLUMN())&amp;":"&amp;ADDRESS(income_max_row,COLUMN())))</f>
        <v>170000</v>
      </c>
      <c r="M21" s="115" cm="1">
        <f t="array" aca="1" ref="M21" ca="1">SUM(INDIRECT(ADDRESS(income_min_row,COLUMN())&amp;":"&amp;ADDRESS(income_max_row,COLUMN())))</f>
        <v>170000</v>
      </c>
      <c r="N21" s="115" cm="1">
        <f t="array" aca="1" ref="N21" ca="1">SUM(INDIRECT(ADDRESS(income_min_row,COLUMN())&amp;":"&amp;ADDRESS(income_max_row,COLUMN())))</f>
        <v>170000</v>
      </c>
      <c r="O21" s="115" cm="1">
        <f t="array" aca="1" ref="O21" ca="1">SUM(INDIRECT(ADDRESS(income_min_row,COLUMN())&amp;":"&amp;ADDRESS(income_max_row,COLUMN())))</f>
        <v>170000</v>
      </c>
      <c r="P21" s="115" cm="1">
        <f t="array" aca="1" ref="P21" ca="1">SUM(INDIRECT(ADDRESS(income_min_row,COLUMN())&amp;":"&amp;ADDRESS(income_max_row,COLUMN())))</f>
        <v>2040000</v>
      </c>
      <c r="R21" s="115" cm="1">
        <f t="array" aca="1" ref="R21" ca="1">SUM(INDIRECT(ADDRESS(income_min_row,COLUMN())&amp;":"&amp;ADDRESS(income_max_row,COLUMN())))</f>
        <v>0</v>
      </c>
      <c r="S21" s="115" cm="1">
        <f t="array" aca="1" ref="S21" ca="1">SUM(INDIRECT(ADDRESS(income_min_row,COLUMN())&amp;":"&amp;ADDRESS(income_max_row,COLUMN())))</f>
        <v>0</v>
      </c>
      <c r="T21" s="115" cm="1">
        <f t="array" aca="1" ref="T21" ca="1">SUM(INDIRECT(ADDRESS(income_min_row,COLUMN())&amp;":"&amp;ADDRESS(income_max_row,COLUMN())))</f>
        <v>0</v>
      </c>
      <c r="U21" s="115" cm="1">
        <f t="array" aca="1" ref="U21" ca="1">SUM(INDIRECT(ADDRESS(income_min_row,COLUMN())&amp;":"&amp;ADDRESS(income_max_row,COLUMN())))</f>
        <v>0</v>
      </c>
      <c r="V21" s="115" cm="1">
        <f t="array" aca="1" ref="V21" ca="1">SUM(INDIRECT(ADDRESS(income_min_row,COLUMN())&amp;":"&amp;ADDRESS(income_max_row,COLUMN())))</f>
        <v>0</v>
      </c>
      <c r="W21" s="115" cm="1">
        <f t="array" aca="1" ref="W21" ca="1">SUM(INDIRECT(ADDRESS(income_min_row,COLUMN())&amp;":"&amp;ADDRESS(income_max_row,COLUMN())))</f>
        <v>0</v>
      </c>
      <c r="X21" s="115" cm="1">
        <f t="array" aca="1" ref="X21" ca="1">SUM(INDIRECT(ADDRESS(income_min_row,COLUMN())&amp;":"&amp;ADDRESS(income_max_row,COLUMN())))</f>
        <v>0</v>
      </c>
      <c r="Y21" s="115" cm="1">
        <f t="array" aca="1" ref="Y21" ca="1">SUM(INDIRECT(ADDRESS(income_min_row,COLUMN())&amp;":"&amp;ADDRESS(income_max_row,COLUMN())))</f>
        <v>0</v>
      </c>
      <c r="Z21" s="115" cm="1">
        <f t="array" aca="1" ref="Z21" ca="1">SUM(INDIRECT(ADDRESS(income_min_row,COLUMN())&amp;":"&amp;ADDRESS(income_max_row,COLUMN())))</f>
        <v>0</v>
      </c>
      <c r="AA21" s="115" cm="1">
        <f t="array" aca="1" ref="AA21" ca="1">SUM(INDIRECT(ADDRESS(income_min_row,COLUMN())&amp;":"&amp;ADDRESS(income_max_row,COLUMN())))</f>
        <v>0</v>
      </c>
      <c r="AB21" s="115" cm="1">
        <f t="array" aca="1" ref="AB21" ca="1">SUM(INDIRECT(ADDRESS(income_min_row,COLUMN())&amp;":"&amp;ADDRESS(income_max_row,COLUMN())))</f>
        <v>0</v>
      </c>
      <c r="AC21" s="115" cm="1">
        <f t="array" aca="1" ref="AC21" ca="1">SUM(INDIRECT(ADDRESS(income_min_row,COLUMN())&amp;":"&amp;ADDRESS(income_max_row,COLUMN())))</f>
        <v>0</v>
      </c>
      <c r="AD21" s="115" cm="1">
        <f t="array" aca="1" ref="AD21" ca="1">SUM(INDIRECT(ADDRESS(income_min_row,COLUMN())&amp;":"&amp;ADDRESS(income_max_row,COLUMN())))</f>
        <v>0</v>
      </c>
      <c r="AF21" s="115" cm="1">
        <f t="array" aca="1" ref="AF21" ca="1">SUM(INDIRECT(ADDRESS(income_min_row,COLUMN())&amp;":"&amp;ADDRESS(income_max_row,COLUMN())))</f>
        <v>0</v>
      </c>
      <c r="AG21" s="115" cm="1">
        <f t="array" aca="1" ref="AG21" ca="1">SUM(INDIRECT(ADDRESS(income_min_row,COLUMN())&amp;":"&amp;ADDRESS(income_max_row,COLUMN())))</f>
        <v>0</v>
      </c>
      <c r="AH21" s="115" cm="1">
        <f t="array" aca="1" ref="AH21" ca="1">SUM(INDIRECT(ADDRESS(income_min_row,COLUMN())&amp;":"&amp;ADDRESS(income_max_row,COLUMN())))</f>
        <v>0</v>
      </c>
      <c r="AI21" s="115" cm="1">
        <f t="array" aca="1" ref="AI21" ca="1">SUM(INDIRECT(ADDRESS(income_min_row,COLUMN())&amp;":"&amp;ADDRESS(income_max_row,COLUMN())))</f>
        <v>0</v>
      </c>
      <c r="AJ21" s="115" cm="1">
        <f t="array" aca="1" ref="AJ21" ca="1">SUM(INDIRECT(ADDRESS(income_min_row,COLUMN())&amp;":"&amp;ADDRESS(income_max_row,COLUMN())))</f>
        <v>0</v>
      </c>
      <c r="AK21" s="115" cm="1">
        <f t="array" aca="1" ref="AK21" ca="1">SUM(INDIRECT(ADDRESS(income_min_row,COLUMN())&amp;":"&amp;ADDRESS(income_max_row,COLUMN())))</f>
        <v>0</v>
      </c>
      <c r="AL21" s="115" cm="1">
        <f t="array" aca="1" ref="AL21" ca="1">SUM(INDIRECT(ADDRESS(income_min_row,COLUMN())&amp;":"&amp;ADDRESS(income_max_row,COLUMN())))</f>
        <v>0</v>
      </c>
      <c r="AM21" s="115" cm="1">
        <f t="array" aca="1" ref="AM21" ca="1">SUM(INDIRECT(ADDRESS(income_min_row,COLUMN())&amp;":"&amp;ADDRESS(income_max_row,COLUMN())))</f>
        <v>0</v>
      </c>
      <c r="AN21" s="115" cm="1">
        <f t="array" aca="1" ref="AN21" ca="1">SUM(INDIRECT(ADDRESS(income_min_row,COLUMN())&amp;":"&amp;ADDRESS(income_max_row,COLUMN())))</f>
        <v>0</v>
      </c>
      <c r="AO21" s="115" cm="1">
        <f t="array" aca="1" ref="AO21" ca="1">SUM(INDIRECT(ADDRESS(income_min_row,COLUMN())&amp;":"&amp;ADDRESS(income_max_row,COLUMN())))</f>
        <v>0</v>
      </c>
      <c r="AP21" s="115" cm="1">
        <f t="array" aca="1" ref="AP21" ca="1">SUM(INDIRECT(ADDRESS(income_min_row,COLUMN())&amp;":"&amp;ADDRESS(income_max_row,COLUMN())))</f>
        <v>0</v>
      </c>
      <c r="AQ21" s="115" cm="1">
        <f t="array" aca="1" ref="AQ21" ca="1">SUM(INDIRECT(ADDRESS(income_min_row,COLUMN())&amp;":"&amp;ADDRESS(income_max_row,COLUMN())))</f>
        <v>0</v>
      </c>
      <c r="AR21" s="115" cm="1">
        <f t="array" aca="1" ref="AR21" ca="1">SUM(INDIRECT(ADDRESS(income_min_row,COLUMN())&amp;":"&amp;ADDRESS(income_max_row,COLUMN())))</f>
        <v>0</v>
      </c>
      <c r="AT21" s="115" cm="1">
        <f t="array" aca="1" ref="AT21" ca="1">SUM(INDIRECT(ADDRESS(income_min_row,COLUMN())&amp;":"&amp;ADDRESS(income_max_row,COLUMN())))</f>
        <v>0</v>
      </c>
      <c r="AU21" s="115" cm="1">
        <f t="array" aca="1" ref="AU21" ca="1">SUM(INDIRECT(ADDRESS(income_min_row,COLUMN())&amp;":"&amp;ADDRESS(income_max_row,COLUMN())))</f>
        <v>0</v>
      </c>
      <c r="AV21" s="115" cm="1">
        <f t="array" aca="1" ref="AV21" ca="1">SUM(INDIRECT(ADDRESS(income_min_row,COLUMN())&amp;":"&amp;ADDRESS(income_max_row,COLUMN())))</f>
        <v>0</v>
      </c>
      <c r="AW21" s="115" cm="1">
        <f t="array" aca="1" ref="AW21" ca="1">SUM(INDIRECT(ADDRESS(income_min_row,COLUMN())&amp;":"&amp;ADDRESS(income_max_row,COLUMN())))</f>
        <v>0</v>
      </c>
      <c r="AX21" s="115" cm="1">
        <f t="array" aca="1" ref="AX21" ca="1">SUM(INDIRECT(ADDRESS(income_min_row,COLUMN())&amp;":"&amp;ADDRESS(income_max_row,COLUMN())))</f>
        <v>0</v>
      </c>
      <c r="AY21" s="115" cm="1">
        <f t="array" aca="1" ref="AY21" ca="1">SUM(INDIRECT(ADDRESS(income_min_row,COLUMN())&amp;":"&amp;ADDRESS(income_max_row,COLUMN())))</f>
        <v>0</v>
      </c>
      <c r="AZ21" s="115" cm="1">
        <f t="array" aca="1" ref="AZ21" ca="1">SUM(INDIRECT(ADDRESS(income_min_row,COLUMN())&amp;":"&amp;ADDRESS(income_max_row,COLUMN())))</f>
        <v>0</v>
      </c>
      <c r="BA21" s="115" cm="1">
        <f t="array" aca="1" ref="BA21" ca="1">SUM(INDIRECT(ADDRESS(income_min_row,COLUMN())&amp;":"&amp;ADDRESS(income_max_row,COLUMN())))</f>
        <v>0</v>
      </c>
      <c r="BB21" s="115" cm="1">
        <f t="array" aca="1" ref="BB21" ca="1">SUM(INDIRECT(ADDRESS(income_min_row,COLUMN())&amp;":"&amp;ADDRESS(income_max_row,COLUMN())))</f>
        <v>0</v>
      </c>
      <c r="BC21" s="115" cm="1">
        <f t="array" aca="1" ref="BC21" ca="1">SUM(INDIRECT(ADDRESS(income_min_row,COLUMN())&amp;":"&amp;ADDRESS(income_max_row,COLUMN())))</f>
        <v>0</v>
      </c>
      <c r="BD21" s="115" cm="1">
        <f t="array" aca="1" ref="BD21" ca="1">SUM(INDIRECT(ADDRESS(income_min_row,COLUMN())&amp;":"&amp;ADDRESS(income_max_row,COLUMN())))</f>
        <v>0</v>
      </c>
      <c r="BE21" s="115" cm="1">
        <f t="array" aca="1" ref="BE21" ca="1">SUM(INDIRECT(ADDRESS(income_min_row,COLUMN())&amp;":"&amp;ADDRESS(income_max_row,COLUMN())))</f>
        <v>0</v>
      </c>
      <c r="BF21" s="115" cm="1">
        <f t="array" aca="1" ref="BF21" ca="1">SUM(INDIRECT(ADDRESS(income_min_row,COLUMN())&amp;":"&amp;ADDRESS(income_max_row,COLUMN())))</f>
        <v>0</v>
      </c>
      <c r="BH21" s="115" cm="1">
        <f t="array" aca="1" ref="BH21" ca="1">SUM(INDIRECT(ADDRESS(income_min_row,COLUMN())&amp;":"&amp;ADDRESS(income_max_row,COLUMN())))</f>
        <v>0</v>
      </c>
      <c r="BI21" s="115" cm="1">
        <f t="array" aca="1" ref="BI21" ca="1">SUM(INDIRECT(ADDRESS(income_min_row,COLUMN())&amp;":"&amp;ADDRESS(income_max_row,COLUMN())))</f>
        <v>0</v>
      </c>
      <c r="BJ21" s="115" cm="1">
        <f t="array" aca="1" ref="BJ21" ca="1">SUM(INDIRECT(ADDRESS(income_min_row,COLUMN())&amp;":"&amp;ADDRESS(income_max_row,COLUMN())))</f>
        <v>0</v>
      </c>
      <c r="BK21" s="115" cm="1">
        <f t="array" aca="1" ref="BK21" ca="1">SUM(INDIRECT(ADDRESS(income_min_row,COLUMN())&amp;":"&amp;ADDRESS(income_max_row,COLUMN())))</f>
        <v>0</v>
      </c>
      <c r="BL21" s="115" cm="1">
        <f t="array" aca="1" ref="BL21" ca="1">SUM(INDIRECT(ADDRESS(income_min_row,COLUMN())&amp;":"&amp;ADDRESS(income_max_row,COLUMN())))</f>
        <v>0</v>
      </c>
      <c r="BM21" s="115" cm="1">
        <f t="array" aca="1" ref="BM21" ca="1">SUM(INDIRECT(ADDRESS(income_min_row,COLUMN())&amp;":"&amp;ADDRESS(income_max_row,COLUMN())))</f>
        <v>0</v>
      </c>
      <c r="BN21" s="115" cm="1">
        <f t="array" aca="1" ref="BN21" ca="1">SUM(INDIRECT(ADDRESS(income_min_row,COLUMN())&amp;":"&amp;ADDRESS(income_max_row,COLUMN())))</f>
        <v>0</v>
      </c>
      <c r="BO21" s="115" cm="1">
        <f t="array" aca="1" ref="BO21" ca="1">SUM(INDIRECT(ADDRESS(income_min_row,COLUMN())&amp;":"&amp;ADDRESS(income_max_row,COLUMN())))</f>
        <v>0</v>
      </c>
      <c r="BP21" s="115" cm="1">
        <f t="array" aca="1" ref="BP21" ca="1">SUM(INDIRECT(ADDRESS(income_min_row,COLUMN())&amp;":"&amp;ADDRESS(income_max_row,COLUMN())))</f>
        <v>0</v>
      </c>
      <c r="BQ21" s="115" cm="1">
        <f t="array" aca="1" ref="BQ21" ca="1">SUM(INDIRECT(ADDRESS(income_min_row,COLUMN())&amp;":"&amp;ADDRESS(income_max_row,COLUMN())))</f>
        <v>0</v>
      </c>
      <c r="BR21" s="115" cm="1">
        <f t="array" aca="1" ref="BR21" ca="1">SUM(INDIRECT(ADDRESS(income_min_row,COLUMN())&amp;":"&amp;ADDRESS(income_max_row,COLUMN())))</f>
        <v>0</v>
      </c>
      <c r="BS21" s="115" cm="1">
        <f t="array" aca="1" ref="BS21" ca="1">SUM(INDIRECT(ADDRESS(income_min_row,COLUMN())&amp;":"&amp;ADDRESS(income_max_row,COLUMN())))</f>
        <v>0</v>
      </c>
      <c r="BT21" s="115" cm="1">
        <f t="array" aca="1" ref="BT21" ca="1">SUM(INDIRECT(ADDRESS(income_min_row,COLUMN())&amp;":"&amp;ADDRESS(income_max_row,COLUMN())))</f>
        <v>0</v>
      </c>
      <c r="BV21" s="115" cm="1">
        <f t="array" aca="1" ref="BV21" ca="1">SUM(INDIRECT(ADDRESS(income_min_row,COLUMN())&amp;":"&amp;ADDRESS(income_max_row,COLUMN())))</f>
        <v>0</v>
      </c>
      <c r="BW21" s="115" cm="1">
        <f t="array" aca="1" ref="BW21" ca="1">SUM(INDIRECT(ADDRESS(income_min_row,COLUMN())&amp;":"&amp;ADDRESS(income_max_row,COLUMN())))</f>
        <v>0</v>
      </c>
      <c r="BX21" s="115" cm="1">
        <f t="array" aca="1" ref="BX21" ca="1">SUM(INDIRECT(ADDRESS(income_min_row,COLUMN())&amp;":"&amp;ADDRESS(income_max_row,COLUMN())))</f>
        <v>0</v>
      </c>
      <c r="BY21" s="115" cm="1">
        <f t="array" aca="1" ref="BY21" ca="1">SUM(INDIRECT(ADDRESS(income_min_row,COLUMN())&amp;":"&amp;ADDRESS(income_max_row,COLUMN())))</f>
        <v>0</v>
      </c>
      <c r="BZ21" s="115" cm="1">
        <f t="array" aca="1" ref="BZ21" ca="1">SUM(INDIRECT(ADDRESS(income_min_row,COLUMN())&amp;":"&amp;ADDRESS(income_max_row,COLUMN())))</f>
        <v>0</v>
      </c>
      <c r="CA21" s="115" cm="1">
        <f t="array" aca="1" ref="CA21" ca="1">SUM(INDIRECT(ADDRESS(income_min_row,COLUMN())&amp;":"&amp;ADDRESS(income_max_row,COLUMN())))</f>
        <v>0</v>
      </c>
      <c r="CB21" s="115" cm="1">
        <f t="array" aca="1" ref="CB21" ca="1">SUM(INDIRECT(ADDRESS(income_min_row,COLUMN())&amp;":"&amp;ADDRESS(income_max_row,COLUMN())))</f>
        <v>0</v>
      </c>
      <c r="CC21" s="115" cm="1">
        <f t="array" aca="1" ref="CC21" ca="1">SUM(INDIRECT(ADDRESS(income_min_row,COLUMN())&amp;":"&amp;ADDRESS(income_max_row,COLUMN())))</f>
        <v>0</v>
      </c>
      <c r="CD21" s="115" cm="1">
        <f t="array" aca="1" ref="CD21" ca="1">SUM(INDIRECT(ADDRESS(income_min_row,COLUMN())&amp;":"&amp;ADDRESS(income_max_row,COLUMN())))</f>
        <v>0</v>
      </c>
      <c r="CE21" s="115" cm="1">
        <f t="array" aca="1" ref="CE21" ca="1">SUM(INDIRECT(ADDRESS(income_min_row,COLUMN())&amp;":"&amp;ADDRESS(income_max_row,COLUMN())))</f>
        <v>0</v>
      </c>
      <c r="CF21" s="115" cm="1">
        <f t="array" aca="1" ref="CF21" ca="1">SUM(INDIRECT(ADDRESS(income_min_row,COLUMN())&amp;":"&amp;ADDRESS(income_max_row,COLUMN())))</f>
        <v>0</v>
      </c>
      <c r="CG21" s="115" cm="1">
        <f t="array" aca="1" ref="CG21" ca="1">SUM(INDIRECT(ADDRESS(income_min_row,COLUMN())&amp;":"&amp;ADDRESS(income_max_row,COLUMN())))</f>
        <v>0</v>
      </c>
      <c r="CH21" s="115" cm="1">
        <f t="array" aca="1" ref="CH21" ca="1">SUM(INDIRECT(ADDRESS(income_min_row,COLUMN())&amp;":"&amp;ADDRESS(income_max_row,COLUMN())))</f>
        <v>0</v>
      </c>
      <c r="CJ21" s="115" cm="1">
        <f t="array" aca="1" ref="CJ21" ca="1">SUM(INDIRECT(ADDRESS(income_min_row,COLUMN())&amp;":"&amp;ADDRESS(income_max_row,COLUMN())))</f>
        <v>0</v>
      </c>
      <c r="CK21" s="115" cm="1">
        <f t="array" aca="1" ref="CK21" ca="1">SUM(INDIRECT(ADDRESS(income_min_row,COLUMN())&amp;":"&amp;ADDRESS(income_max_row,COLUMN())))</f>
        <v>0</v>
      </c>
      <c r="CL21" s="115" cm="1">
        <f t="array" aca="1" ref="CL21" ca="1">SUM(INDIRECT(ADDRESS(income_min_row,COLUMN())&amp;":"&amp;ADDRESS(income_max_row,COLUMN())))</f>
        <v>0</v>
      </c>
      <c r="CM21" s="115" cm="1">
        <f t="array" aca="1" ref="CM21" ca="1">SUM(INDIRECT(ADDRESS(income_min_row,COLUMN())&amp;":"&amp;ADDRESS(income_max_row,COLUMN())))</f>
        <v>0</v>
      </c>
      <c r="CN21" s="115" cm="1">
        <f t="array" aca="1" ref="CN21" ca="1">SUM(INDIRECT(ADDRESS(income_min_row,COLUMN())&amp;":"&amp;ADDRESS(income_max_row,COLUMN())))</f>
        <v>0</v>
      </c>
      <c r="CO21" s="115" cm="1">
        <f t="array" aca="1" ref="CO21" ca="1">SUM(INDIRECT(ADDRESS(income_min_row,COLUMN())&amp;":"&amp;ADDRESS(income_max_row,COLUMN())))</f>
        <v>0</v>
      </c>
      <c r="CP21" s="115" cm="1">
        <f t="array" aca="1" ref="CP21" ca="1">SUM(INDIRECT(ADDRESS(income_min_row,COLUMN())&amp;":"&amp;ADDRESS(income_max_row,COLUMN())))</f>
        <v>0</v>
      </c>
      <c r="CQ21" s="115" cm="1">
        <f t="array" aca="1" ref="CQ21" ca="1">SUM(INDIRECT(ADDRESS(income_min_row,COLUMN())&amp;":"&amp;ADDRESS(income_max_row,COLUMN())))</f>
        <v>0</v>
      </c>
      <c r="CR21" s="115" cm="1">
        <f t="array" aca="1" ref="CR21" ca="1">SUM(INDIRECT(ADDRESS(income_min_row,COLUMN())&amp;":"&amp;ADDRESS(income_max_row,COLUMN())))</f>
        <v>0</v>
      </c>
      <c r="CS21" s="115" cm="1">
        <f t="array" aca="1" ref="CS21" ca="1">SUM(INDIRECT(ADDRESS(income_min_row,COLUMN())&amp;":"&amp;ADDRESS(income_max_row,COLUMN())))</f>
        <v>0</v>
      </c>
      <c r="CT21" s="115" cm="1">
        <f t="array" aca="1" ref="CT21" ca="1">SUM(INDIRECT(ADDRESS(income_min_row,COLUMN())&amp;":"&amp;ADDRESS(income_max_row,COLUMN())))</f>
        <v>0</v>
      </c>
      <c r="CU21" s="115" cm="1">
        <f t="array" aca="1" ref="CU21" ca="1">SUM(INDIRECT(ADDRESS(income_min_row,COLUMN())&amp;":"&amp;ADDRESS(income_max_row,COLUMN())))</f>
        <v>0</v>
      </c>
      <c r="CV21" s="115" cm="1">
        <f t="array" aca="1" ref="CV21" ca="1">SUM(INDIRECT(ADDRESS(income_min_row,COLUMN())&amp;":"&amp;ADDRESS(income_max_row,COLUMN())))</f>
        <v>0</v>
      </c>
      <c r="CX21" s="115" cm="1">
        <f t="array" aca="1" ref="CX21" ca="1">SUM(INDIRECT(ADDRESS(income_min_row,COLUMN())&amp;":"&amp;ADDRESS(income_max_row,COLUMN())))</f>
        <v>0</v>
      </c>
      <c r="CY21" s="115" cm="1">
        <f t="array" aca="1" ref="CY21" ca="1">SUM(INDIRECT(ADDRESS(income_min_row,COLUMN())&amp;":"&amp;ADDRESS(income_max_row,COLUMN())))</f>
        <v>0</v>
      </c>
      <c r="CZ21" s="115" cm="1">
        <f t="array" aca="1" ref="CZ21" ca="1">SUM(INDIRECT(ADDRESS(income_min_row,COLUMN())&amp;":"&amp;ADDRESS(income_max_row,COLUMN())))</f>
        <v>0</v>
      </c>
      <c r="DA21" s="115" cm="1">
        <f t="array" aca="1" ref="DA21" ca="1">SUM(INDIRECT(ADDRESS(income_min_row,COLUMN())&amp;":"&amp;ADDRESS(income_max_row,COLUMN())))</f>
        <v>0</v>
      </c>
      <c r="DB21" s="115" cm="1">
        <f t="array" aca="1" ref="DB21" ca="1">SUM(INDIRECT(ADDRESS(income_min_row,COLUMN())&amp;":"&amp;ADDRESS(income_max_row,COLUMN())))</f>
        <v>0</v>
      </c>
      <c r="DC21" s="115" cm="1">
        <f t="array" aca="1" ref="DC21" ca="1">SUM(INDIRECT(ADDRESS(income_min_row,COLUMN())&amp;":"&amp;ADDRESS(income_max_row,COLUMN())))</f>
        <v>0</v>
      </c>
      <c r="DD21" s="115" cm="1">
        <f t="array" aca="1" ref="DD21" ca="1">SUM(INDIRECT(ADDRESS(income_min_row,COLUMN())&amp;":"&amp;ADDRESS(income_max_row,COLUMN())))</f>
        <v>0</v>
      </c>
      <c r="DE21" s="115" cm="1">
        <f t="array" aca="1" ref="DE21" ca="1">SUM(INDIRECT(ADDRESS(income_min_row,COLUMN())&amp;":"&amp;ADDRESS(income_max_row,COLUMN())))</f>
        <v>0</v>
      </c>
      <c r="DF21" s="115" cm="1">
        <f t="array" aca="1" ref="DF21" ca="1">SUM(INDIRECT(ADDRESS(income_min_row,COLUMN())&amp;":"&amp;ADDRESS(income_max_row,COLUMN())))</f>
        <v>0</v>
      </c>
      <c r="DG21" s="115" cm="1">
        <f t="array" aca="1" ref="DG21" ca="1">SUM(INDIRECT(ADDRESS(income_min_row,COLUMN())&amp;":"&amp;ADDRESS(income_max_row,COLUMN())))</f>
        <v>0</v>
      </c>
      <c r="DH21" s="115" cm="1">
        <f t="array" aca="1" ref="DH21" ca="1">SUM(INDIRECT(ADDRESS(income_min_row,COLUMN())&amp;":"&amp;ADDRESS(income_max_row,COLUMN())))</f>
        <v>0</v>
      </c>
      <c r="DI21" s="115" cm="1">
        <f t="array" aca="1" ref="DI21" ca="1">SUM(INDIRECT(ADDRESS(income_min_row,COLUMN())&amp;":"&amp;ADDRESS(income_max_row,COLUMN())))</f>
        <v>0</v>
      </c>
      <c r="DJ21" s="115" cm="1">
        <f t="array" aca="1" ref="DJ21" ca="1">SUM(INDIRECT(ADDRESS(income_min_row,COLUMN())&amp;":"&amp;ADDRESS(income_max_row,COLUMN())))</f>
        <v>0</v>
      </c>
      <c r="DL21" s="115" cm="1">
        <f t="array" aca="1" ref="DL21" ca="1">SUM(INDIRECT(ADDRESS(income_min_row,COLUMN())&amp;":"&amp;ADDRESS(income_max_row,COLUMN())))</f>
        <v>0</v>
      </c>
      <c r="DM21" s="115" cm="1">
        <f t="array" aca="1" ref="DM21" ca="1">SUM(INDIRECT(ADDRESS(income_min_row,COLUMN())&amp;":"&amp;ADDRESS(income_max_row,COLUMN())))</f>
        <v>0</v>
      </c>
      <c r="DN21" s="115" cm="1">
        <f t="array" aca="1" ref="DN21" ca="1">SUM(INDIRECT(ADDRESS(income_min_row,COLUMN())&amp;":"&amp;ADDRESS(income_max_row,COLUMN())))</f>
        <v>0</v>
      </c>
      <c r="DO21" s="115" cm="1">
        <f t="array" aca="1" ref="DO21" ca="1">SUM(INDIRECT(ADDRESS(income_min_row,COLUMN())&amp;":"&amp;ADDRESS(income_max_row,COLUMN())))</f>
        <v>0</v>
      </c>
      <c r="DP21" s="115" cm="1">
        <f t="array" aca="1" ref="DP21" ca="1">SUM(INDIRECT(ADDRESS(income_min_row,COLUMN())&amp;":"&amp;ADDRESS(income_max_row,COLUMN())))</f>
        <v>0</v>
      </c>
      <c r="DQ21" s="115" cm="1">
        <f t="array" aca="1" ref="DQ21" ca="1">SUM(INDIRECT(ADDRESS(income_min_row,COLUMN())&amp;":"&amp;ADDRESS(income_max_row,COLUMN())))</f>
        <v>0</v>
      </c>
      <c r="DR21" s="115" cm="1">
        <f t="array" aca="1" ref="DR21" ca="1">SUM(INDIRECT(ADDRESS(income_min_row,COLUMN())&amp;":"&amp;ADDRESS(income_max_row,COLUMN())))</f>
        <v>0</v>
      </c>
      <c r="DS21" s="115" cm="1">
        <f t="array" aca="1" ref="DS21" ca="1">SUM(INDIRECT(ADDRESS(income_min_row,COLUMN())&amp;":"&amp;ADDRESS(income_max_row,COLUMN())))</f>
        <v>0</v>
      </c>
      <c r="DT21" s="115" cm="1">
        <f t="array" aca="1" ref="DT21" ca="1">SUM(INDIRECT(ADDRESS(income_min_row,COLUMN())&amp;":"&amp;ADDRESS(income_max_row,COLUMN())))</f>
        <v>0</v>
      </c>
      <c r="DU21" s="115" cm="1">
        <f t="array" aca="1" ref="DU21" ca="1">SUM(INDIRECT(ADDRESS(income_min_row,COLUMN())&amp;":"&amp;ADDRESS(income_max_row,COLUMN())))</f>
        <v>0</v>
      </c>
      <c r="DV21" s="115" cm="1">
        <f t="array" aca="1" ref="DV21" ca="1">SUM(INDIRECT(ADDRESS(income_min_row,COLUMN())&amp;":"&amp;ADDRESS(income_max_row,COLUMN())))</f>
        <v>0</v>
      </c>
      <c r="DW21" s="115" cm="1">
        <f t="array" aca="1" ref="DW21" ca="1">SUM(INDIRECT(ADDRESS(income_min_row,COLUMN())&amp;":"&amp;ADDRESS(income_max_row,COLUMN())))</f>
        <v>0</v>
      </c>
      <c r="DX21" s="115" cm="1">
        <f t="array" aca="1" ref="DX21" ca="1">SUM(INDIRECT(ADDRESS(income_min_row,COLUMN())&amp;":"&amp;ADDRESS(income_max_row,COLUMN())))</f>
        <v>0</v>
      </c>
      <c r="DZ21" s="115" cm="1">
        <f t="array" aca="1" ref="DZ21" ca="1">SUM(INDIRECT(ADDRESS(income_min_row,COLUMN())&amp;":"&amp;ADDRESS(income_max_row,COLUMN())))</f>
        <v>0</v>
      </c>
      <c r="EA21" s="115" cm="1">
        <f t="array" aca="1" ref="EA21" ca="1">SUM(INDIRECT(ADDRESS(income_min_row,COLUMN())&amp;":"&amp;ADDRESS(income_max_row,COLUMN())))</f>
        <v>0</v>
      </c>
      <c r="EB21" s="115" cm="1">
        <f t="array" aca="1" ref="EB21" ca="1">SUM(INDIRECT(ADDRESS(income_min_row,COLUMN())&amp;":"&amp;ADDRESS(income_max_row,COLUMN())))</f>
        <v>0</v>
      </c>
      <c r="EC21" s="115" cm="1">
        <f t="array" aca="1" ref="EC21" ca="1">SUM(INDIRECT(ADDRESS(income_min_row,COLUMN())&amp;":"&amp;ADDRESS(income_max_row,COLUMN())))</f>
        <v>0</v>
      </c>
      <c r="ED21" s="115" cm="1">
        <f t="array" aca="1" ref="ED21" ca="1">SUM(INDIRECT(ADDRESS(income_min_row,COLUMN())&amp;":"&amp;ADDRESS(income_max_row,COLUMN())))</f>
        <v>0</v>
      </c>
      <c r="EE21" s="115" cm="1">
        <f t="array" aca="1" ref="EE21" ca="1">SUM(INDIRECT(ADDRESS(income_min_row,COLUMN())&amp;":"&amp;ADDRESS(income_max_row,COLUMN())))</f>
        <v>0</v>
      </c>
      <c r="EF21" s="115" cm="1">
        <f t="array" aca="1" ref="EF21" ca="1">SUM(INDIRECT(ADDRESS(income_min_row,COLUMN())&amp;":"&amp;ADDRESS(income_max_row,COLUMN())))</f>
        <v>0</v>
      </c>
      <c r="EG21" s="115" cm="1">
        <f t="array" aca="1" ref="EG21" ca="1">SUM(INDIRECT(ADDRESS(income_min_row,COLUMN())&amp;":"&amp;ADDRESS(income_max_row,COLUMN())))</f>
        <v>0</v>
      </c>
      <c r="EH21" s="115" cm="1">
        <f t="array" aca="1" ref="EH21" ca="1">SUM(INDIRECT(ADDRESS(income_min_row,COLUMN())&amp;":"&amp;ADDRESS(income_max_row,COLUMN())))</f>
        <v>0</v>
      </c>
      <c r="EI21" s="115" cm="1">
        <f t="array" aca="1" ref="EI21" ca="1">SUM(INDIRECT(ADDRESS(income_min_row,COLUMN())&amp;":"&amp;ADDRESS(income_max_row,COLUMN())))</f>
        <v>0</v>
      </c>
      <c r="EJ21" s="115" cm="1">
        <f t="array" aca="1" ref="EJ21" ca="1">SUM(INDIRECT(ADDRESS(income_min_row,COLUMN())&amp;":"&amp;ADDRESS(income_max_row,COLUMN())))</f>
        <v>0</v>
      </c>
      <c r="EK21" s="115" cm="1">
        <f t="array" aca="1" ref="EK21" ca="1">SUM(INDIRECT(ADDRESS(income_min_row,COLUMN())&amp;":"&amp;ADDRESS(income_max_row,COLUMN())))</f>
        <v>0</v>
      </c>
      <c r="EL21" s="115" cm="1">
        <f t="array" aca="1" ref="EL21" ca="1">SUM(INDIRECT(ADDRESS(income_min_row,COLUMN())&amp;":"&amp;ADDRESS(income_max_row,COLUMN())))</f>
        <v>0</v>
      </c>
      <c r="EN21" s="115" cm="1">
        <f t="array" aca="1" ref="EN21" ca="1">SUM(INDIRECT(ADDRESS(income_min_row,COLUMN())&amp;":"&amp;ADDRESS(income_max_row,COLUMN())))</f>
        <v>0</v>
      </c>
      <c r="EO21" s="115" cm="1">
        <f t="array" aca="1" ref="EO21" ca="1">SUM(INDIRECT(ADDRESS(income_min_row,COLUMN())&amp;":"&amp;ADDRESS(income_max_row,COLUMN())))</f>
        <v>0</v>
      </c>
      <c r="EP21" s="115" cm="1">
        <f t="array" aca="1" ref="EP21" ca="1">SUM(INDIRECT(ADDRESS(income_min_row,COLUMN())&amp;":"&amp;ADDRESS(income_max_row,COLUMN())))</f>
        <v>0</v>
      </c>
      <c r="EQ21" s="115" cm="1">
        <f t="array" aca="1" ref="EQ21" ca="1">SUM(INDIRECT(ADDRESS(income_min_row,COLUMN())&amp;":"&amp;ADDRESS(income_max_row,COLUMN())))</f>
        <v>0</v>
      </c>
      <c r="ER21" s="115" cm="1">
        <f t="array" aca="1" ref="ER21" ca="1">SUM(INDIRECT(ADDRESS(income_min_row,COLUMN())&amp;":"&amp;ADDRESS(income_max_row,COLUMN())))</f>
        <v>0</v>
      </c>
      <c r="ES21" s="115" cm="1">
        <f t="array" aca="1" ref="ES21" ca="1">SUM(INDIRECT(ADDRESS(income_min_row,COLUMN())&amp;":"&amp;ADDRESS(income_max_row,COLUMN())))</f>
        <v>0</v>
      </c>
      <c r="ET21" s="115" cm="1">
        <f t="array" aca="1" ref="ET21" ca="1">SUM(INDIRECT(ADDRESS(income_min_row,COLUMN())&amp;":"&amp;ADDRESS(income_max_row,COLUMN())))</f>
        <v>0</v>
      </c>
      <c r="EU21" s="115" cm="1">
        <f t="array" aca="1" ref="EU21" ca="1">SUM(INDIRECT(ADDRESS(income_min_row,COLUMN())&amp;":"&amp;ADDRESS(income_max_row,COLUMN())))</f>
        <v>0</v>
      </c>
      <c r="EV21" s="115" cm="1">
        <f t="array" aca="1" ref="EV21" ca="1">SUM(INDIRECT(ADDRESS(income_min_row,COLUMN())&amp;":"&amp;ADDRESS(income_max_row,COLUMN())))</f>
        <v>0</v>
      </c>
      <c r="EW21" s="115" cm="1">
        <f t="array" aca="1" ref="EW21" ca="1">SUM(INDIRECT(ADDRESS(income_min_row,COLUMN())&amp;":"&amp;ADDRESS(income_max_row,COLUMN())))</f>
        <v>0</v>
      </c>
      <c r="EX21" s="115" cm="1">
        <f t="array" aca="1" ref="EX21" ca="1">SUM(INDIRECT(ADDRESS(income_min_row,COLUMN())&amp;":"&amp;ADDRESS(income_max_row,COLUMN())))</f>
        <v>0</v>
      </c>
      <c r="EY21" s="115" cm="1">
        <f t="array" aca="1" ref="EY21" ca="1">SUM(INDIRECT(ADDRESS(income_min_row,COLUMN())&amp;":"&amp;ADDRESS(income_max_row,COLUMN())))</f>
        <v>0</v>
      </c>
      <c r="EZ21" s="115" cm="1">
        <f t="array" aca="1" ref="EZ21" ca="1">SUM(INDIRECT(ADDRESS(income_min_row,COLUMN())&amp;":"&amp;ADDRESS(income_max_row,COLUMN())))</f>
        <v>0</v>
      </c>
      <c r="FB21" s="115" cm="1">
        <f t="array" aca="1" ref="FB21" ca="1">SUM(INDIRECT(ADDRESS(income_min_row,COLUMN())&amp;":"&amp;ADDRESS(income_max_row,COLUMN())))</f>
        <v>0</v>
      </c>
      <c r="FC21" s="115" cm="1">
        <f t="array" aca="1" ref="FC21" ca="1">SUM(INDIRECT(ADDRESS(income_min_row,COLUMN())&amp;":"&amp;ADDRESS(income_max_row,COLUMN())))</f>
        <v>0</v>
      </c>
      <c r="FD21" s="115" cm="1">
        <f t="array" aca="1" ref="FD21" ca="1">SUM(INDIRECT(ADDRESS(income_min_row,COLUMN())&amp;":"&amp;ADDRESS(income_max_row,COLUMN())))</f>
        <v>0</v>
      </c>
      <c r="FE21" s="115" cm="1">
        <f t="array" aca="1" ref="FE21" ca="1">SUM(INDIRECT(ADDRESS(income_min_row,COLUMN())&amp;":"&amp;ADDRESS(income_max_row,COLUMN())))</f>
        <v>0</v>
      </c>
      <c r="FF21" s="115" cm="1">
        <f t="array" aca="1" ref="FF21" ca="1">SUM(INDIRECT(ADDRESS(income_min_row,COLUMN())&amp;":"&amp;ADDRESS(income_max_row,COLUMN())))</f>
        <v>0</v>
      </c>
      <c r="FG21" s="115" cm="1">
        <f t="array" aca="1" ref="FG21" ca="1">SUM(INDIRECT(ADDRESS(income_min_row,COLUMN())&amp;":"&amp;ADDRESS(income_max_row,COLUMN())))</f>
        <v>0</v>
      </c>
      <c r="FH21" s="115" cm="1">
        <f t="array" aca="1" ref="FH21" ca="1">SUM(INDIRECT(ADDRESS(income_min_row,COLUMN())&amp;":"&amp;ADDRESS(income_max_row,COLUMN())))</f>
        <v>0</v>
      </c>
      <c r="FI21" s="115" cm="1">
        <f t="array" aca="1" ref="FI21" ca="1">SUM(INDIRECT(ADDRESS(income_min_row,COLUMN())&amp;":"&amp;ADDRESS(income_max_row,COLUMN())))</f>
        <v>0</v>
      </c>
      <c r="FJ21" s="115" cm="1">
        <f t="array" aca="1" ref="FJ21" ca="1">SUM(INDIRECT(ADDRESS(income_min_row,COLUMN())&amp;":"&amp;ADDRESS(income_max_row,COLUMN())))</f>
        <v>0</v>
      </c>
      <c r="FK21" s="115" cm="1">
        <f t="array" aca="1" ref="FK21" ca="1">SUM(INDIRECT(ADDRESS(income_min_row,COLUMN())&amp;":"&amp;ADDRESS(income_max_row,COLUMN())))</f>
        <v>0</v>
      </c>
      <c r="FL21" s="115" cm="1">
        <f t="array" aca="1" ref="FL21" ca="1">SUM(INDIRECT(ADDRESS(income_min_row,COLUMN())&amp;":"&amp;ADDRESS(income_max_row,COLUMN())))</f>
        <v>0</v>
      </c>
      <c r="FM21" s="115" cm="1">
        <f t="array" aca="1" ref="FM21" ca="1">SUM(INDIRECT(ADDRESS(income_min_row,COLUMN())&amp;":"&amp;ADDRESS(income_max_row,COLUMN())))</f>
        <v>0</v>
      </c>
      <c r="FN21" s="115" cm="1">
        <f t="array" aca="1" ref="FN21" ca="1">SUM(INDIRECT(ADDRESS(income_min_row,COLUMN())&amp;":"&amp;ADDRESS(income_max_row,COLUMN())))</f>
        <v>0</v>
      </c>
      <c r="FP21" s="115" cm="1">
        <f t="array" aca="1" ref="FP21" ca="1">SUM(INDIRECT(ADDRESS(income_min_row,COLUMN())&amp;":"&amp;ADDRESS(income_max_row,COLUMN())))</f>
        <v>0</v>
      </c>
      <c r="FQ21" s="115" cm="1">
        <f t="array" aca="1" ref="FQ21" ca="1">SUM(INDIRECT(ADDRESS(income_min_row,COLUMN())&amp;":"&amp;ADDRESS(income_max_row,COLUMN())))</f>
        <v>0</v>
      </c>
      <c r="FR21" s="115" cm="1">
        <f t="array" aca="1" ref="FR21" ca="1">SUM(INDIRECT(ADDRESS(income_min_row,COLUMN())&amp;":"&amp;ADDRESS(income_max_row,COLUMN())))</f>
        <v>0</v>
      </c>
      <c r="FS21" s="115" cm="1">
        <f t="array" aca="1" ref="FS21" ca="1">SUM(INDIRECT(ADDRESS(income_min_row,COLUMN())&amp;":"&amp;ADDRESS(income_max_row,COLUMN())))</f>
        <v>0</v>
      </c>
      <c r="FT21" s="115" cm="1">
        <f t="array" aca="1" ref="FT21" ca="1">SUM(INDIRECT(ADDRESS(income_min_row,COLUMN())&amp;":"&amp;ADDRESS(income_max_row,COLUMN())))</f>
        <v>0</v>
      </c>
      <c r="FU21" s="115" cm="1">
        <f t="array" aca="1" ref="FU21" ca="1">SUM(INDIRECT(ADDRESS(income_min_row,COLUMN())&amp;":"&amp;ADDRESS(income_max_row,COLUMN())))</f>
        <v>0</v>
      </c>
      <c r="FV21" s="115" cm="1">
        <f t="array" aca="1" ref="FV21" ca="1">SUM(INDIRECT(ADDRESS(income_min_row,COLUMN())&amp;":"&amp;ADDRESS(income_max_row,COLUMN())))</f>
        <v>0</v>
      </c>
      <c r="FW21" s="115" cm="1">
        <f t="array" aca="1" ref="FW21" ca="1">SUM(INDIRECT(ADDRESS(income_min_row,COLUMN())&amp;":"&amp;ADDRESS(income_max_row,COLUMN())))</f>
        <v>0</v>
      </c>
      <c r="FX21" s="115" cm="1">
        <f t="array" aca="1" ref="FX21" ca="1">SUM(INDIRECT(ADDRESS(income_min_row,COLUMN())&amp;":"&amp;ADDRESS(income_max_row,COLUMN())))</f>
        <v>0</v>
      </c>
      <c r="FY21" s="115" cm="1">
        <f t="array" aca="1" ref="FY21" ca="1">SUM(INDIRECT(ADDRESS(income_min_row,COLUMN())&amp;":"&amp;ADDRESS(income_max_row,COLUMN())))</f>
        <v>0</v>
      </c>
      <c r="FZ21" s="115" cm="1">
        <f t="array" aca="1" ref="FZ21" ca="1">SUM(INDIRECT(ADDRESS(income_min_row,COLUMN())&amp;":"&amp;ADDRESS(income_max_row,COLUMN())))</f>
        <v>0</v>
      </c>
      <c r="GA21" s="115" cm="1">
        <f t="array" aca="1" ref="GA21" ca="1">SUM(INDIRECT(ADDRESS(income_min_row,COLUMN())&amp;":"&amp;ADDRESS(income_max_row,COLUMN())))</f>
        <v>0</v>
      </c>
      <c r="GB21" s="115" cm="1">
        <f t="array" aca="1" ref="GB21" ca="1">SUM(INDIRECT(ADDRESS(income_min_row,COLUMN())&amp;":"&amp;ADDRESS(income_max_row,COLUMN())))</f>
        <v>0</v>
      </c>
    </row>
    <row r="22" spans="2:184" s="108" customFormat="1" x14ac:dyDescent="0.3">
      <c r="B22" s="116"/>
    </row>
    <row r="23" spans="2:184" s="108" customFormat="1" x14ac:dyDescent="0.3">
      <c r="B23" s="35" t="s">
        <v>17</v>
      </c>
      <c r="D23" s="8">
        <f>DATE(D$3,1,1)</f>
        <v>45292</v>
      </c>
      <c r="E23" s="8">
        <f>DATE(D$3,2,1)</f>
        <v>45323</v>
      </c>
      <c r="F23" s="8">
        <f>DATE(D$3,3,1)</f>
        <v>45352</v>
      </c>
      <c r="G23" s="8">
        <f>DATE(D$3,4,1)</f>
        <v>45383</v>
      </c>
      <c r="H23" s="8">
        <f>DATE(D$3,5,1)</f>
        <v>45413</v>
      </c>
      <c r="I23" s="8">
        <f>DATE(D$3,6,1)</f>
        <v>45444</v>
      </c>
      <c r="J23" s="8">
        <f>DATE(D$3,7,1)</f>
        <v>45474</v>
      </c>
      <c r="K23" s="8">
        <f>DATE(D$3,8,1)</f>
        <v>45505</v>
      </c>
      <c r="L23" s="8">
        <f>DATE(D$3,9,1)</f>
        <v>45536</v>
      </c>
      <c r="M23" s="8">
        <f>DATE(D$3,10,1)</f>
        <v>45566</v>
      </c>
      <c r="N23" s="8">
        <f>DATE(D$3,11,1)</f>
        <v>45597</v>
      </c>
      <c r="O23" s="8">
        <f>DATE(D$3,12,1)</f>
        <v>45627</v>
      </c>
      <c r="P23" s="9">
        <f>D3</f>
        <v>2024</v>
      </c>
      <c r="Q23" s="6"/>
      <c r="R23" s="8">
        <f>DATE(R$3,1,1)</f>
        <v>45658</v>
      </c>
      <c r="S23" s="8">
        <f>DATE(R$3,2,1)</f>
        <v>45689</v>
      </c>
      <c r="T23" s="8">
        <f>DATE(R$3,3,1)</f>
        <v>45717</v>
      </c>
      <c r="U23" s="8">
        <f>DATE(R$3,4,1)</f>
        <v>45748</v>
      </c>
      <c r="V23" s="8">
        <f>DATE(R$3,5,1)</f>
        <v>45778</v>
      </c>
      <c r="W23" s="8">
        <f>DATE(R$3,6,1)</f>
        <v>45809</v>
      </c>
      <c r="X23" s="8">
        <f>DATE(R$3,7,1)</f>
        <v>45839</v>
      </c>
      <c r="Y23" s="8">
        <f>DATE(R$3,8,1)</f>
        <v>45870</v>
      </c>
      <c r="Z23" s="8">
        <f>DATE(R$3,9,1)</f>
        <v>45901</v>
      </c>
      <c r="AA23" s="8">
        <f>DATE(R$3,10,1)</f>
        <v>45931</v>
      </c>
      <c r="AB23" s="8">
        <f>DATE(R$3,11,1)</f>
        <v>45962</v>
      </c>
      <c r="AC23" s="8">
        <f>DATE(R$3,12,1)</f>
        <v>45992</v>
      </c>
      <c r="AD23" s="9">
        <f>R3</f>
        <v>2025</v>
      </c>
      <c r="AE23" s="6"/>
      <c r="AF23" s="8">
        <f>DATE(AF$3,1,1)</f>
        <v>46023</v>
      </c>
      <c r="AG23" s="8">
        <f>DATE(AF$3,2,1)</f>
        <v>46054</v>
      </c>
      <c r="AH23" s="8">
        <f>DATE(AF$3,3,1)</f>
        <v>46082</v>
      </c>
      <c r="AI23" s="8">
        <f>DATE(AF$3,4,1)</f>
        <v>46113</v>
      </c>
      <c r="AJ23" s="8">
        <f>DATE(AF$3,5,1)</f>
        <v>46143</v>
      </c>
      <c r="AK23" s="8">
        <f>DATE(AF$3,6,1)</f>
        <v>46174</v>
      </c>
      <c r="AL23" s="8">
        <f>DATE(AF$3,7,1)</f>
        <v>46204</v>
      </c>
      <c r="AM23" s="8">
        <f>DATE(AF$3,8,1)</f>
        <v>46235</v>
      </c>
      <c r="AN23" s="8">
        <f>DATE(AF$3,9,1)</f>
        <v>46266</v>
      </c>
      <c r="AO23" s="8">
        <f>DATE(AF$3,10,1)</f>
        <v>46296</v>
      </c>
      <c r="AP23" s="8">
        <f>DATE(AF$3,11,1)</f>
        <v>46327</v>
      </c>
      <c r="AQ23" s="8">
        <f>DATE(AF$3,12,1)</f>
        <v>46357</v>
      </c>
      <c r="AR23" s="9">
        <f>AF3</f>
        <v>2026</v>
      </c>
      <c r="AS23" s="6"/>
      <c r="AT23" s="8">
        <f>DATE(AT$3,1,1)</f>
        <v>46388</v>
      </c>
      <c r="AU23" s="8">
        <f>DATE(AT$3,2,1)</f>
        <v>46419</v>
      </c>
      <c r="AV23" s="8">
        <f>DATE(AT$3,3,1)</f>
        <v>46447</v>
      </c>
      <c r="AW23" s="8">
        <f>DATE(AT$3,4,1)</f>
        <v>46478</v>
      </c>
      <c r="AX23" s="8">
        <f>DATE(AT$3,5,1)</f>
        <v>46508</v>
      </c>
      <c r="AY23" s="8">
        <f>DATE(AT$3,6,1)</f>
        <v>46539</v>
      </c>
      <c r="AZ23" s="8">
        <f>DATE(AT$3,7,1)</f>
        <v>46569</v>
      </c>
      <c r="BA23" s="8">
        <f>DATE(AT$3,8,1)</f>
        <v>46600</v>
      </c>
      <c r="BB23" s="8">
        <f>DATE(AT$3,9,1)</f>
        <v>46631</v>
      </c>
      <c r="BC23" s="8">
        <f>DATE(AT$3,10,1)</f>
        <v>46661</v>
      </c>
      <c r="BD23" s="8">
        <f>DATE(AT$3,11,1)</f>
        <v>46692</v>
      </c>
      <c r="BE23" s="8">
        <f>DATE(AT$3,12,1)</f>
        <v>46722</v>
      </c>
      <c r="BF23" s="9">
        <f>AT3</f>
        <v>2027</v>
      </c>
      <c r="BG23" s="6"/>
      <c r="BH23" s="8">
        <f>DATE(BH$3,1,1)</f>
        <v>46753</v>
      </c>
      <c r="BI23" s="8">
        <f>DATE(BH$3,2,1)</f>
        <v>46784</v>
      </c>
      <c r="BJ23" s="8">
        <f>DATE(BH$3,3,1)</f>
        <v>46813</v>
      </c>
      <c r="BK23" s="8">
        <f>DATE(BH$3,4,1)</f>
        <v>46844</v>
      </c>
      <c r="BL23" s="8">
        <f>DATE(BH$3,5,1)</f>
        <v>46874</v>
      </c>
      <c r="BM23" s="8">
        <f>DATE(BH$3,6,1)</f>
        <v>46905</v>
      </c>
      <c r="BN23" s="8">
        <f>DATE(BH$3,7,1)</f>
        <v>46935</v>
      </c>
      <c r="BO23" s="8">
        <f>DATE(BH$3,8,1)</f>
        <v>46966</v>
      </c>
      <c r="BP23" s="8">
        <f>DATE(BH$3,9,1)</f>
        <v>46997</v>
      </c>
      <c r="BQ23" s="8">
        <f>DATE(BH$3,10,1)</f>
        <v>47027</v>
      </c>
      <c r="BR23" s="8">
        <f>DATE(BH$3,11,1)</f>
        <v>47058</v>
      </c>
      <c r="BS23" s="8">
        <f>DATE(BH$3,12,1)</f>
        <v>47088</v>
      </c>
      <c r="BT23" s="9">
        <f>BH3</f>
        <v>2028</v>
      </c>
      <c r="BU23" s="6"/>
      <c r="BV23" s="8">
        <f>DATE(BV$3,1,1)</f>
        <v>47119</v>
      </c>
      <c r="BW23" s="8">
        <f>DATE(BV$3,2,1)</f>
        <v>47150</v>
      </c>
      <c r="BX23" s="8">
        <f>DATE(BV$3,3,1)</f>
        <v>47178</v>
      </c>
      <c r="BY23" s="8">
        <f>DATE(BV$3,4,1)</f>
        <v>47209</v>
      </c>
      <c r="BZ23" s="8">
        <f>DATE(BV$3,5,1)</f>
        <v>47239</v>
      </c>
      <c r="CA23" s="8">
        <f>DATE(BV$3,6,1)</f>
        <v>47270</v>
      </c>
      <c r="CB23" s="8">
        <f>DATE(BV$3,7,1)</f>
        <v>47300</v>
      </c>
      <c r="CC23" s="8">
        <f>DATE(BV$3,8,1)</f>
        <v>47331</v>
      </c>
      <c r="CD23" s="8">
        <f>DATE(BV$3,9,1)</f>
        <v>47362</v>
      </c>
      <c r="CE23" s="8">
        <f>DATE(BV$3,10,1)</f>
        <v>47392</v>
      </c>
      <c r="CF23" s="8">
        <f>DATE(BV$3,11,1)</f>
        <v>47423</v>
      </c>
      <c r="CG23" s="8">
        <f>DATE(BV$3,12,1)</f>
        <v>47453</v>
      </c>
      <c r="CH23" s="9">
        <f>BV3</f>
        <v>2029</v>
      </c>
      <c r="CI23" s="6"/>
      <c r="CJ23" s="8">
        <f>DATE(CJ$3,1,1)</f>
        <v>47484</v>
      </c>
      <c r="CK23" s="8">
        <f>DATE(CJ$3,2,1)</f>
        <v>47515</v>
      </c>
      <c r="CL23" s="8">
        <f>DATE(CJ$3,3,1)</f>
        <v>47543</v>
      </c>
      <c r="CM23" s="8">
        <f>DATE(CJ$3,4,1)</f>
        <v>47574</v>
      </c>
      <c r="CN23" s="8">
        <f>DATE(CJ$3,5,1)</f>
        <v>47604</v>
      </c>
      <c r="CO23" s="8">
        <f>DATE(CJ$3,6,1)</f>
        <v>47635</v>
      </c>
      <c r="CP23" s="8">
        <f>DATE(CJ$3,7,1)</f>
        <v>47665</v>
      </c>
      <c r="CQ23" s="8">
        <f>DATE(CJ$3,8,1)</f>
        <v>47696</v>
      </c>
      <c r="CR23" s="8">
        <f>DATE(CJ$3,9,1)</f>
        <v>47727</v>
      </c>
      <c r="CS23" s="8">
        <f>DATE(CJ$3,10,1)</f>
        <v>47757</v>
      </c>
      <c r="CT23" s="8">
        <f>DATE(CJ$3,11,1)</f>
        <v>47788</v>
      </c>
      <c r="CU23" s="8">
        <f>DATE(CJ$3,12,1)</f>
        <v>47818</v>
      </c>
      <c r="CV23" s="9">
        <f>CJ3</f>
        <v>2030</v>
      </c>
      <c r="CW23" s="6"/>
      <c r="CX23" s="8">
        <f>DATE(CX$3,1,1)</f>
        <v>47849</v>
      </c>
      <c r="CY23" s="8">
        <f>DATE(CX$3,2,1)</f>
        <v>47880</v>
      </c>
      <c r="CZ23" s="8">
        <f>DATE(CX$3,3,1)</f>
        <v>47908</v>
      </c>
      <c r="DA23" s="8">
        <f>DATE(CX$3,4,1)</f>
        <v>47939</v>
      </c>
      <c r="DB23" s="8">
        <f>DATE(CX$3,5,1)</f>
        <v>47969</v>
      </c>
      <c r="DC23" s="8">
        <f>DATE(CX$3,6,1)</f>
        <v>48000</v>
      </c>
      <c r="DD23" s="8">
        <f>DATE(CX$3,7,1)</f>
        <v>48030</v>
      </c>
      <c r="DE23" s="8">
        <f>DATE(CX$3,8,1)</f>
        <v>48061</v>
      </c>
      <c r="DF23" s="8">
        <f>DATE(CX$3,9,1)</f>
        <v>48092</v>
      </c>
      <c r="DG23" s="8">
        <f>DATE(CX$3,10,1)</f>
        <v>48122</v>
      </c>
      <c r="DH23" s="8">
        <f>DATE(CX$3,11,1)</f>
        <v>48153</v>
      </c>
      <c r="DI23" s="8">
        <f>DATE(CX$3,12,1)</f>
        <v>48183</v>
      </c>
      <c r="DJ23" s="9">
        <f>CX3</f>
        <v>2031</v>
      </c>
      <c r="DK23" s="6"/>
      <c r="DL23" s="8">
        <f>DATE(DL$3,1,1)</f>
        <v>48214</v>
      </c>
      <c r="DM23" s="8">
        <f>DATE(DL$3,2,1)</f>
        <v>48245</v>
      </c>
      <c r="DN23" s="8">
        <f>DATE(DL$3,3,1)</f>
        <v>48274</v>
      </c>
      <c r="DO23" s="8">
        <f>DATE(DL$3,4,1)</f>
        <v>48305</v>
      </c>
      <c r="DP23" s="8">
        <f>DATE(DL$3,5,1)</f>
        <v>48335</v>
      </c>
      <c r="DQ23" s="8">
        <f>DATE(DL$3,6,1)</f>
        <v>48366</v>
      </c>
      <c r="DR23" s="8">
        <f>DATE(DL$3,7,1)</f>
        <v>48396</v>
      </c>
      <c r="DS23" s="8">
        <f>DATE(DL$3,8,1)</f>
        <v>48427</v>
      </c>
      <c r="DT23" s="8">
        <f>DATE(DL$3,9,1)</f>
        <v>48458</v>
      </c>
      <c r="DU23" s="8">
        <f>DATE(DL$3,10,1)</f>
        <v>48488</v>
      </c>
      <c r="DV23" s="8">
        <f>DATE(DL$3,11,1)</f>
        <v>48519</v>
      </c>
      <c r="DW23" s="8">
        <f>DATE(DL$3,12,1)</f>
        <v>48549</v>
      </c>
      <c r="DX23" s="9">
        <f>DL3</f>
        <v>2032</v>
      </c>
      <c r="DY23" s="6"/>
      <c r="DZ23" s="8">
        <f>DATE(DZ$3,1,1)</f>
        <v>48580</v>
      </c>
      <c r="EA23" s="8">
        <f>DATE(DZ$3,2,1)</f>
        <v>48611</v>
      </c>
      <c r="EB23" s="8">
        <f>DATE(DZ$3,3,1)</f>
        <v>48639</v>
      </c>
      <c r="EC23" s="8">
        <f>DATE(DZ$3,4,1)</f>
        <v>48670</v>
      </c>
      <c r="ED23" s="8">
        <f>DATE(DZ$3,5,1)</f>
        <v>48700</v>
      </c>
      <c r="EE23" s="8">
        <f>DATE(DZ$3,6,1)</f>
        <v>48731</v>
      </c>
      <c r="EF23" s="8">
        <f>DATE(DZ$3,7,1)</f>
        <v>48761</v>
      </c>
      <c r="EG23" s="8">
        <f>DATE(DZ$3,8,1)</f>
        <v>48792</v>
      </c>
      <c r="EH23" s="8">
        <f>DATE(DZ$3,9,1)</f>
        <v>48823</v>
      </c>
      <c r="EI23" s="8">
        <f>DATE(DZ$3,10,1)</f>
        <v>48853</v>
      </c>
      <c r="EJ23" s="8">
        <f>DATE(DZ$3,11,1)</f>
        <v>48884</v>
      </c>
      <c r="EK23" s="8">
        <f>DATE(DZ$3,12,1)</f>
        <v>48914</v>
      </c>
      <c r="EL23" s="9">
        <f>DZ3</f>
        <v>2033</v>
      </c>
      <c r="EM23" s="6"/>
      <c r="EN23" s="8">
        <f>DATE(EN$3,1,1)</f>
        <v>48945</v>
      </c>
      <c r="EO23" s="8">
        <f>DATE(EN$3,2,1)</f>
        <v>48976</v>
      </c>
      <c r="EP23" s="8">
        <f>DATE(EN$3,3,1)</f>
        <v>49004</v>
      </c>
      <c r="EQ23" s="8">
        <f>DATE(EN$3,4,1)</f>
        <v>49035</v>
      </c>
      <c r="ER23" s="8">
        <f>DATE(EN$3,5,1)</f>
        <v>49065</v>
      </c>
      <c r="ES23" s="8">
        <f>DATE(EN$3,6,1)</f>
        <v>49096</v>
      </c>
      <c r="ET23" s="8">
        <f>DATE(EN$3,7,1)</f>
        <v>49126</v>
      </c>
      <c r="EU23" s="8">
        <f>DATE(EN$3,8,1)</f>
        <v>49157</v>
      </c>
      <c r="EV23" s="8">
        <f>DATE(EN$3,9,1)</f>
        <v>49188</v>
      </c>
      <c r="EW23" s="8">
        <f>DATE(EN$3,10,1)</f>
        <v>49218</v>
      </c>
      <c r="EX23" s="8">
        <f>DATE(EN$3,11,1)</f>
        <v>49249</v>
      </c>
      <c r="EY23" s="8">
        <f>DATE(EN$3,12,1)</f>
        <v>49279</v>
      </c>
      <c r="EZ23" s="9">
        <f>EN3</f>
        <v>2034</v>
      </c>
      <c r="FA23" s="6"/>
      <c r="FB23" s="8">
        <f>DATE(FB$3,1,1)</f>
        <v>49310</v>
      </c>
      <c r="FC23" s="8">
        <f>DATE(FB$3,2,1)</f>
        <v>49341</v>
      </c>
      <c r="FD23" s="8">
        <f>DATE(FB$3,3,1)</f>
        <v>49369</v>
      </c>
      <c r="FE23" s="8">
        <f>DATE(FB$3,4,1)</f>
        <v>49400</v>
      </c>
      <c r="FF23" s="8">
        <f>DATE(FB$3,5,1)</f>
        <v>49430</v>
      </c>
      <c r="FG23" s="8">
        <f>DATE(FB$3,6,1)</f>
        <v>49461</v>
      </c>
      <c r="FH23" s="8">
        <f>DATE(FB$3,7,1)</f>
        <v>49491</v>
      </c>
      <c r="FI23" s="8">
        <f>DATE(FB$3,8,1)</f>
        <v>49522</v>
      </c>
      <c r="FJ23" s="8">
        <f>DATE(FB$3,9,1)</f>
        <v>49553</v>
      </c>
      <c r="FK23" s="8">
        <f>DATE(FB$3,10,1)</f>
        <v>49583</v>
      </c>
      <c r="FL23" s="8">
        <f>DATE(FB$3,11,1)</f>
        <v>49614</v>
      </c>
      <c r="FM23" s="8">
        <f>DATE(FB$3,12,1)</f>
        <v>49644</v>
      </c>
      <c r="FN23" s="9">
        <f>FB3</f>
        <v>2035</v>
      </c>
      <c r="FO23" s="6"/>
      <c r="FP23" s="8">
        <f>DATE(FP$3,1,1)</f>
        <v>49675</v>
      </c>
      <c r="FQ23" s="8">
        <f>DATE(FP$3,2,1)</f>
        <v>49706</v>
      </c>
      <c r="FR23" s="8">
        <f>DATE(FP$3,3,1)</f>
        <v>49735</v>
      </c>
      <c r="FS23" s="8">
        <f>DATE(FP$3,4,1)</f>
        <v>49766</v>
      </c>
      <c r="FT23" s="8">
        <f>DATE(FP$3,5,1)</f>
        <v>49796</v>
      </c>
      <c r="FU23" s="8">
        <f>DATE(FP$3,6,1)</f>
        <v>49827</v>
      </c>
      <c r="FV23" s="8">
        <f>DATE(FP$3,7,1)</f>
        <v>49857</v>
      </c>
      <c r="FW23" s="8">
        <f>DATE(FP$3,8,1)</f>
        <v>49888</v>
      </c>
      <c r="FX23" s="8">
        <f>DATE(FP$3,9,1)</f>
        <v>49919</v>
      </c>
      <c r="FY23" s="8">
        <f>DATE(FP$3,10,1)</f>
        <v>49949</v>
      </c>
      <c r="FZ23" s="8">
        <f>DATE(FP$3,11,1)</f>
        <v>49980</v>
      </c>
      <c r="GA23" s="8">
        <f>DATE(FP$3,12,1)</f>
        <v>50010</v>
      </c>
      <c r="GB23" s="9">
        <f>FP3</f>
        <v>2036</v>
      </c>
    </row>
    <row r="24" spans="2:184" s="108" customFormat="1" ht="13.8" customHeight="1" x14ac:dyDescent="0.3">
      <c r="B24" s="109" t="s">
        <v>128</v>
      </c>
      <c r="D24" s="110">
        <v>15000</v>
      </c>
      <c r="E24" s="110">
        <v>15000</v>
      </c>
      <c r="F24" s="110">
        <v>15000</v>
      </c>
      <c r="G24" s="110">
        <v>15000</v>
      </c>
      <c r="H24" s="110">
        <v>15000</v>
      </c>
      <c r="I24" s="110">
        <v>15000</v>
      </c>
      <c r="J24" s="110">
        <v>15000</v>
      </c>
      <c r="K24" s="110">
        <v>15000</v>
      </c>
      <c r="L24" s="110">
        <v>15000</v>
      </c>
      <c r="M24" s="110">
        <v>15000</v>
      </c>
      <c r="N24" s="110">
        <v>15000</v>
      </c>
      <c r="O24" s="110">
        <v>15000</v>
      </c>
      <c r="P24" s="110">
        <f>SUM(D24:O24)</f>
        <v>180000</v>
      </c>
      <c r="R24" s="110"/>
      <c r="S24" s="110"/>
      <c r="T24" s="110"/>
      <c r="U24" s="110"/>
      <c r="V24" s="110"/>
      <c r="W24" s="110"/>
      <c r="X24" s="110"/>
      <c r="Y24" s="110"/>
      <c r="Z24" s="110"/>
      <c r="AA24" s="110"/>
      <c r="AB24" s="110"/>
      <c r="AC24" s="110"/>
      <c r="AD24" s="110">
        <f>SUM(R24:AC24)</f>
        <v>0</v>
      </c>
      <c r="AF24" s="110"/>
      <c r="AG24" s="110"/>
      <c r="AH24" s="110"/>
      <c r="AI24" s="110"/>
      <c r="AJ24" s="110"/>
      <c r="AK24" s="110"/>
      <c r="AL24" s="110"/>
      <c r="AM24" s="110"/>
      <c r="AN24" s="110"/>
      <c r="AO24" s="110"/>
      <c r="AP24" s="110"/>
      <c r="AQ24" s="110"/>
      <c r="AR24" s="110">
        <f>SUM(AF24:AQ24)</f>
        <v>0</v>
      </c>
      <c r="AT24" s="110"/>
      <c r="AU24" s="110"/>
      <c r="AV24" s="110"/>
      <c r="AW24" s="110"/>
      <c r="AX24" s="110"/>
      <c r="AY24" s="110"/>
      <c r="AZ24" s="110"/>
      <c r="BA24" s="110"/>
      <c r="BB24" s="110"/>
      <c r="BC24" s="110"/>
      <c r="BD24" s="110"/>
      <c r="BE24" s="110"/>
      <c r="BF24" s="110">
        <f>SUM(AT24:BE24)</f>
        <v>0</v>
      </c>
      <c r="BH24" s="110"/>
      <c r="BI24" s="110"/>
      <c r="BJ24" s="110"/>
      <c r="BK24" s="110"/>
      <c r="BL24" s="110"/>
      <c r="BM24" s="110"/>
      <c r="BN24" s="110"/>
      <c r="BO24" s="110"/>
      <c r="BP24" s="110"/>
      <c r="BQ24" s="110"/>
      <c r="BR24" s="110"/>
      <c r="BS24" s="110"/>
      <c r="BT24" s="110">
        <f>SUM(BH24:BS24)</f>
        <v>0</v>
      </c>
      <c r="BV24" s="110"/>
      <c r="BW24" s="110"/>
      <c r="BX24" s="110"/>
      <c r="BY24" s="110"/>
      <c r="BZ24" s="110"/>
      <c r="CA24" s="110"/>
      <c r="CB24" s="110"/>
      <c r="CC24" s="110"/>
      <c r="CD24" s="110"/>
      <c r="CE24" s="110"/>
      <c r="CF24" s="110"/>
      <c r="CG24" s="110"/>
      <c r="CH24" s="110">
        <f>SUM(BV24:CG24)</f>
        <v>0</v>
      </c>
      <c r="CJ24" s="110"/>
      <c r="CK24" s="110"/>
      <c r="CL24" s="110"/>
      <c r="CM24" s="110"/>
      <c r="CN24" s="110"/>
      <c r="CO24" s="110"/>
      <c r="CP24" s="110"/>
      <c r="CQ24" s="110"/>
      <c r="CR24" s="110"/>
      <c r="CS24" s="110"/>
      <c r="CT24" s="110"/>
      <c r="CU24" s="110"/>
      <c r="CV24" s="110">
        <f>SUM(CJ24:CU24)</f>
        <v>0</v>
      </c>
      <c r="CX24" s="110"/>
      <c r="CY24" s="110"/>
      <c r="CZ24" s="110"/>
      <c r="DA24" s="110"/>
      <c r="DB24" s="110"/>
      <c r="DC24" s="110"/>
      <c r="DD24" s="110"/>
      <c r="DE24" s="110"/>
      <c r="DF24" s="110"/>
      <c r="DG24" s="110"/>
      <c r="DH24" s="110"/>
      <c r="DI24" s="110"/>
      <c r="DJ24" s="110">
        <f>SUM(CX24:DI24)</f>
        <v>0</v>
      </c>
      <c r="DL24" s="110"/>
      <c r="DM24" s="110"/>
      <c r="DN24" s="110"/>
      <c r="DO24" s="110"/>
      <c r="DP24" s="110"/>
      <c r="DQ24" s="110"/>
      <c r="DR24" s="110"/>
      <c r="DS24" s="110"/>
      <c r="DT24" s="110"/>
      <c r="DU24" s="110"/>
      <c r="DV24" s="110"/>
      <c r="DW24" s="110"/>
      <c r="DX24" s="110">
        <f>SUM(DL24:DW24)</f>
        <v>0</v>
      </c>
      <c r="DZ24" s="110"/>
      <c r="EA24" s="110"/>
      <c r="EB24" s="110"/>
      <c r="EC24" s="110"/>
      <c r="ED24" s="110"/>
      <c r="EE24" s="110"/>
      <c r="EF24" s="110"/>
      <c r="EG24" s="110"/>
      <c r="EH24" s="110"/>
      <c r="EI24" s="110"/>
      <c r="EJ24" s="110"/>
      <c r="EK24" s="110"/>
      <c r="EL24" s="110">
        <f>SUM(DZ24:EK24)</f>
        <v>0</v>
      </c>
      <c r="EN24" s="110"/>
      <c r="EO24" s="110"/>
      <c r="EP24" s="110"/>
      <c r="EQ24" s="110"/>
      <c r="ER24" s="110"/>
      <c r="ES24" s="110"/>
      <c r="ET24" s="110"/>
      <c r="EU24" s="110"/>
      <c r="EV24" s="110"/>
      <c r="EW24" s="110"/>
      <c r="EX24" s="110"/>
      <c r="EY24" s="110"/>
      <c r="EZ24" s="110">
        <f>SUM(EN24:EY24)</f>
        <v>0</v>
      </c>
      <c r="FB24" s="110"/>
      <c r="FC24" s="110"/>
      <c r="FD24" s="110"/>
      <c r="FE24" s="110"/>
      <c r="FF24" s="110"/>
      <c r="FG24" s="110"/>
      <c r="FH24" s="110"/>
      <c r="FI24" s="110"/>
      <c r="FJ24" s="110"/>
      <c r="FK24" s="110"/>
      <c r="FL24" s="110"/>
      <c r="FM24" s="110"/>
      <c r="FN24" s="110">
        <f>SUM(FB24:FM24)</f>
        <v>0</v>
      </c>
      <c r="FP24" s="110"/>
      <c r="FQ24" s="110"/>
      <c r="FR24" s="110"/>
      <c r="FS24" s="110"/>
      <c r="FT24" s="110"/>
      <c r="FU24" s="110"/>
      <c r="FV24" s="110"/>
      <c r="FW24" s="110"/>
      <c r="FX24" s="110"/>
      <c r="FY24" s="110"/>
      <c r="FZ24" s="110"/>
      <c r="GA24" s="110"/>
      <c r="GB24" s="110">
        <f>SUM(FP24:GA24)</f>
        <v>0</v>
      </c>
    </row>
    <row r="25" spans="2:184" s="108" customFormat="1" ht="13.8" customHeight="1" x14ac:dyDescent="0.3">
      <c r="B25" s="109" t="s">
        <v>19</v>
      </c>
      <c r="D25" s="110">
        <v>15000</v>
      </c>
      <c r="E25" s="110">
        <v>15000</v>
      </c>
      <c r="F25" s="110">
        <v>15000</v>
      </c>
      <c r="G25" s="110">
        <v>15000</v>
      </c>
      <c r="H25" s="110">
        <v>15000</v>
      </c>
      <c r="I25" s="110">
        <v>15000</v>
      </c>
      <c r="J25" s="110">
        <v>15000</v>
      </c>
      <c r="K25" s="110">
        <v>15000</v>
      </c>
      <c r="L25" s="110">
        <v>15000</v>
      </c>
      <c r="M25" s="110">
        <v>15000</v>
      </c>
      <c r="N25" s="110">
        <v>15000</v>
      </c>
      <c r="O25" s="110">
        <v>15000</v>
      </c>
      <c r="P25" s="110">
        <f t="shared" ref="P25:P36" si="14">SUM(D25:O25)</f>
        <v>180000</v>
      </c>
      <c r="R25" s="110"/>
      <c r="S25" s="110"/>
      <c r="T25" s="110"/>
      <c r="U25" s="110"/>
      <c r="V25" s="110"/>
      <c r="W25" s="110"/>
      <c r="X25" s="110"/>
      <c r="Y25" s="110"/>
      <c r="Z25" s="110"/>
      <c r="AA25" s="110"/>
      <c r="AB25" s="110"/>
      <c r="AC25" s="110"/>
      <c r="AD25" s="110">
        <f t="shared" ref="AD25:AD36" si="15">SUM(R25:AC25)</f>
        <v>0</v>
      </c>
      <c r="AF25" s="110"/>
      <c r="AG25" s="110"/>
      <c r="AH25" s="110"/>
      <c r="AI25" s="110"/>
      <c r="AJ25" s="110"/>
      <c r="AK25" s="110"/>
      <c r="AL25" s="110"/>
      <c r="AM25" s="110"/>
      <c r="AN25" s="110"/>
      <c r="AO25" s="110"/>
      <c r="AP25" s="110"/>
      <c r="AQ25" s="110"/>
      <c r="AR25" s="110">
        <f t="shared" ref="AR25:AR40" si="16">SUM(AF25:AQ25)</f>
        <v>0</v>
      </c>
      <c r="AT25" s="110"/>
      <c r="AU25" s="110"/>
      <c r="AV25" s="110"/>
      <c r="AW25" s="110"/>
      <c r="AX25" s="110"/>
      <c r="AY25" s="110"/>
      <c r="AZ25" s="110"/>
      <c r="BA25" s="110"/>
      <c r="BB25" s="110"/>
      <c r="BC25" s="110"/>
      <c r="BD25" s="110"/>
      <c r="BE25" s="110"/>
      <c r="BF25" s="110">
        <f t="shared" ref="BF25:BF40" si="17">SUM(AT25:BE25)</f>
        <v>0</v>
      </c>
      <c r="BH25" s="110"/>
      <c r="BI25" s="110"/>
      <c r="BJ25" s="110"/>
      <c r="BK25" s="110"/>
      <c r="BL25" s="110"/>
      <c r="BM25" s="110"/>
      <c r="BN25" s="110"/>
      <c r="BO25" s="110"/>
      <c r="BP25" s="110"/>
      <c r="BQ25" s="110"/>
      <c r="BR25" s="110"/>
      <c r="BS25" s="110"/>
      <c r="BT25" s="110">
        <f t="shared" ref="BT25:BT40" si="18">SUM(BH25:BS25)</f>
        <v>0</v>
      </c>
      <c r="BV25" s="110"/>
      <c r="BW25" s="110"/>
      <c r="BX25" s="110"/>
      <c r="BY25" s="110"/>
      <c r="BZ25" s="110"/>
      <c r="CA25" s="110"/>
      <c r="CB25" s="110"/>
      <c r="CC25" s="110"/>
      <c r="CD25" s="110"/>
      <c r="CE25" s="110"/>
      <c r="CF25" s="110"/>
      <c r="CG25" s="110"/>
      <c r="CH25" s="110">
        <f t="shared" ref="CH25:CH40" si="19">SUM(BV25:CG25)</f>
        <v>0</v>
      </c>
      <c r="CJ25" s="110"/>
      <c r="CK25" s="110"/>
      <c r="CL25" s="110"/>
      <c r="CM25" s="110"/>
      <c r="CN25" s="110"/>
      <c r="CO25" s="110"/>
      <c r="CP25" s="110"/>
      <c r="CQ25" s="110"/>
      <c r="CR25" s="110"/>
      <c r="CS25" s="110"/>
      <c r="CT25" s="110"/>
      <c r="CU25" s="110"/>
      <c r="CV25" s="110">
        <f t="shared" ref="CV25:CV40" si="20">SUM(CJ25:CU25)</f>
        <v>0</v>
      </c>
      <c r="CX25" s="110"/>
      <c r="CY25" s="110"/>
      <c r="CZ25" s="110"/>
      <c r="DA25" s="110"/>
      <c r="DB25" s="110"/>
      <c r="DC25" s="110"/>
      <c r="DD25" s="110"/>
      <c r="DE25" s="110"/>
      <c r="DF25" s="110"/>
      <c r="DG25" s="110"/>
      <c r="DH25" s="110"/>
      <c r="DI25" s="110"/>
      <c r="DJ25" s="110">
        <f t="shared" ref="DJ25:DJ40" si="21">SUM(CX25:DI25)</f>
        <v>0</v>
      </c>
      <c r="DL25" s="110"/>
      <c r="DM25" s="110"/>
      <c r="DN25" s="110"/>
      <c r="DO25" s="110"/>
      <c r="DP25" s="110"/>
      <c r="DQ25" s="110"/>
      <c r="DR25" s="110"/>
      <c r="DS25" s="110"/>
      <c r="DT25" s="110"/>
      <c r="DU25" s="110"/>
      <c r="DV25" s="110"/>
      <c r="DW25" s="110"/>
      <c r="DX25" s="110">
        <f t="shared" ref="DX25:DX40" si="22">SUM(DL25:DW25)</f>
        <v>0</v>
      </c>
      <c r="DZ25" s="110"/>
      <c r="EA25" s="110"/>
      <c r="EB25" s="110"/>
      <c r="EC25" s="110"/>
      <c r="ED25" s="110"/>
      <c r="EE25" s="110"/>
      <c r="EF25" s="110"/>
      <c r="EG25" s="110"/>
      <c r="EH25" s="110"/>
      <c r="EI25" s="110"/>
      <c r="EJ25" s="110"/>
      <c r="EK25" s="110"/>
      <c r="EL25" s="110">
        <f t="shared" ref="EL25:EL40" si="23">SUM(DZ25:EK25)</f>
        <v>0</v>
      </c>
      <c r="EN25" s="110"/>
      <c r="EO25" s="110"/>
      <c r="EP25" s="110"/>
      <c r="EQ25" s="110"/>
      <c r="ER25" s="110"/>
      <c r="ES25" s="110"/>
      <c r="ET25" s="110"/>
      <c r="EU25" s="110"/>
      <c r="EV25" s="110"/>
      <c r="EW25" s="110"/>
      <c r="EX25" s="110"/>
      <c r="EY25" s="110"/>
      <c r="EZ25" s="110">
        <f t="shared" ref="EZ25:EZ40" si="24">SUM(EN25:EY25)</f>
        <v>0</v>
      </c>
      <c r="FB25" s="110"/>
      <c r="FC25" s="110"/>
      <c r="FD25" s="110"/>
      <c r="FE25" s="110"/>
      <c r="FF25" s="110"/>
      <c r="FG25" s="110"/>
      <c r="FH25" s="110"/>
      <c r="FI25" s="110"/>
      <c r="FJ25" s="110"/>
      <c r="FK25" s="110"/>
      <c r="FL25" s="110"/>
      <c r="FM25" s="110"/>
      <c r="FN25" s="110">
        <f t="shared" ref="FN25:FN40" si="25">SUM(FB25:FM25)</f>
        <v>0</v>
      </c>
      <c r="FP25" s="110"/>
      <c r="FQ25" s="110"/>
      <c r="FR25" s="110"/>
      <c r="FS25" s="110"/>
      <c r="FT25" s="110"/>
      <c r="FU25" s="110"/>
      <c r="FV25" s="110"/>
      <c r="FW25" s="110"/>
      <c r="FX25" s="110"/>
      <c r="FY25" s="110"/>
      <c r="FZ25" s="110"/>
      <c r="GA25" s="110"/>
      <c r="GB25" s="110">
        <f t="shared" ref="GB25:GB40" si="26">SUM(FP25:GA25)</f>
        <v>0</v>
      </c>
    </row>
    <row r="26" spans="2:184" s="108" customFormat="1" ht="13.8" customHeight="1" x14ac:dyDescent="0.3">
      <c r="B26" s="109" t="s">
        <v>286</v>
      </c>
      <c r="D26" s="110"/>
      <c r="E26" s="110">
        <v>20000</v>
      </c>
      <c r="F26" s="110">
        <v>20000</v>
      </c>
      <c r="G26" s="110">
        <v>20000</v>
      </c>
      <c r="H26" s="110"/>
      <c r="I26" s="110">
        <v>20000</v>
      </c>
      <c r="J26" s="110">
        <v>20000</v>
      </c>
      <c r="K26" s="110">
        <v>20000</v>
      </c>
      <c r="L26" s="110"/>
      <c r="M26" s="110">
        <v>20000</v>
      </c>
      <c r="N26" s="110">
        <v>20000</v>
      </c>
      <c r="O26" s="110">
        <v>20000</v>
      </c>
      <c r="P26" s="110">
        <f t="shared" si="14"/>
        <v>180000</v>
      </c>
      <c r="R26" s="110"/>
      <c r="S26" s="110"/>
      <c r="T26" s="110"/>
      <c r="U26" s="110"/>
      <c r="V26" s="110"/>
      <c r="W26" s="110"/>
      <c r="X26" s="110"/>
      <c r="Y26" s="110"/>
      <c r="Z26" s="110"/>
      <c r="AA26" s="110"/>
      <c r="AB26" s="110"/>
      <c r="AC26" s="110"/>
      <c r="AD26" s="110">
        <f t="shared" si="15"/>
        <v>0</v>
      </c>
      <c r="AF26" s="110"/>
      <c r="AG26" s="110"/>
      <c r="AH26" s="110"/>
      <c r="AI26" s="110"/>
      <c r="AJ26" s="110"/>
      <c r="AK26" s="110"/>
      <c r="AL26" s="110"/>
      <c r="AM26" s="110"/>
      <c r="AN26" s="110"/>
      <c r="AO26" s="110"/>
      <c r="AP26" s="110"/>
      <c r="AQ26" s="110"/>
      <c r="AR26" s="110">
        <f t="shared" si="16"/>
        <v>0</v>
      </c>
      <c r="AT26" s="110"/>
      <c r="AU26" s="110"/>
      <c r="AV26" s="110"/>
      <c r="AW26" s="110"/>
      <c r="AX26" s="110"/>
      <c r="AY26" s="110"/>
      <c r="AZ26" s="110"/>
      <c r="BA26" s="110"/>
      <c r="BB26" s="110"/>
      <c r="BC26" s="110"/>
      <c r="BD26" s="110"/>
      <c r="BE26" s="110"/>
      <c r="BF26" s="110">
        <f t="shared" si="17"/>
        <v>0</v>
      </c>
      <c r="BH26" s="110"/>
      <c r="BI26" s="110"/>
      <c r="BJ26" s="110"/>
      <c r="BK26" s="110"/>
      <c r="BL26" s="110"/>
      <c r="BM26" s="110"/>
      <c r="BN26" s="110"/>
      <c r="BO26" s="110"/>
      <c r="BP26" s="110"/>
      <c r="BQ26" s="110"/>
      <c r="BR26" s="110"/>
      <c r="BS26" s="110"/>
      <c r="BT26" s="110">
        <f t="shared" si="18"/>
        <v>0</v>
      </c>
      <c r="BV26" s="110"/>
      <c r="BW26" s="110"/>
      <c r="BX26" s="110"/>
      <c r="BY26" s="110"/>
      <c r="BZ26" s="110"/>
      <c r="CA26" s="110"/>
      <c r="CB26" s="110"/>
      <c r="CC26" s="110"/>
      <c r="CD26" s="110"/>
      <c r="CE26" s="110"/>
      <c r="CF26" s="110"/>
      <c r="CG26" s="110"/>
      <c r="CH26" s="110">
        <f t="shared" si="19"/>
        <v>0</v>
      </c>
      <c r="CJ26" s="110"/>
      <c r="CK26" s="110"/>
      <c r="CL26" s="110"/>
      <c r="CM26" s="110"/>
      <c r="CN26" s="110"/>
      <c r="CO26" s="110"/>
      <c r="CP26" s="110"/>
      <c r="CQ26" s="110"/>
      <c r="CR26" s="110"/>
      <c r="CS26" s="110"/>
      <c r="CT26" s="110"/>
      <c r="CU26" s="110"/>
      <c r="CV26" s="110">
        <f t="shared" si="20"/>
        <v>0</v>
      </c>
      <c r="CX26" s="110"/>
      <c r="CY26" s="110"/>
      <c r="CZ26" s="110"/>
      <c r="DA26" s="110"/>
      <c r="DB26" s="110"/>
      <c r="DC26" s="110"/>
      <c r="DD26" s="110"/>
      <c r="DE26" s="110"/>
      <c r="DF26" s="110"/>
      <c r="DG26" s="110"/>
      <c r="DH26" s="110"/>
      <c r="DI26" s="110"/>
      <c r="DJ26" s="110">
        <f t="shared" si="21"/>
        <v>0</v>
      </c>
      <c r="DL26" s="110"/>
      <c r="DM26" s="110"/>
      <c r="DN26" s="110"/>
      <c r="DO26" s="110"/>
      <c r="DP26" s="110"/>
      <c r="DQ26" s="110"/>
      <c r="DR26" s="110"/>
      <c r="DS26" s="110"/>
      <c r="DT26" s="110"/>
      <c r="DU26" s="110"/>
      <c r="DV26" s="110"/>
      <c r="DW26" s="110"/>
      <c r="DX26" s="110">
        <f t="shared" si="22"/>
        <v>0</v>
      </c>
      <c r="DZ26" s="110"/>
      <c r="EA26" s="110"/>
      <c r="EB26" s="110"/>
      <c r="EC26" s="110"/>
      <c r="ED26" s="110"/>
      <c r="EE26" s="110"/>
      <c r="EF26" s="110"/>
      <c r="EG26" s="110"/>
      <c r="EH26" s="110"/>
      <c r="EI26" s="110"/>
      <c r="EJ26" s="110"/>
      <c r="EK26" s="110"/>
      <c r="EL26" s="110">
        <f t="shared" si="23"/>
        <v>0</v>
      </c>
      <c r="EN26" s="110"/>
      <c r="EO26" s="110"/>
      <c r="EP26" s="110"/>
      <c r="EQ26" s="110"/>
      <c r="ER26" s="110"/>
      <c r="ES26" s="110"/>
      <c r="ET26" s="110"/>
      <c r="EU26" s="110"/>
      <c r="EV26" s="110"/>
      <c r="EW26" s="110"/>
      <c r="EX26" s="110"/>
      <c r="EY26" s="110"/>
      <c r="EZ26" s="110">
        <f t="shared" si="24"/>
        <v>0</v>
      </c>
      <c r="FB26" s="110"/>
      <c r="FC26" s="110"/>
      <c r="FD26" s="110"/>
      <c r="FE26" s="110"/>
      <c r="FF26" s="110"/>
      <c r="FG26" s="110"/>
      <c r="FH26" s="110"/>
      <c r="FI26" s="110"/>
      <c r="FJ26" s="110"/>
      <c r="FK26" s="110"/>
      <c r="FL26" s="110"/>
      <c r="FM26" s="110"/>
      <c r="FN26" s="110">
        <f t="shared" si="25"/>
        <v>0</v>
      </c>
      <c r="FP26" s="110"/>
      <c r="FQ26" s="110"/>
      <c r="FR26" s="110"/>
      <c r="FS26" s="110"/>
      <c r="FT26" s="110"/>
      <c r="FU26" s="110"/>
      <c r="FV26" s="110"/>
      <c r="FW26" s="110"/>
      <c r="FX26" s="110"/>
      <c r="FY26" s="110"/>
      <c r="FZ26" s="110"/>
      <c r="GA26" s="110"/>
      <c r="GB26" s="110">
        <f t="shared" si="26"/>
        <v>0</v>
      </c>
    </row>
    <row r="27" spans="2:184" s="108" customFormat="1" ht="13.8" customHeight="1" x14ac:dyDescent="0.3">
      <c r="B27" s="109" t="s">
        <v>287</v>
      </c>
      <c r="D27" s="110">
        <v>10000</v>
      </c>
      <c r="E27" s="110">
        <v>10000</v>
      </c>
      <c r="F27" s="110">
        <v>10000</v>
      </c>
      <c r="G27" s="110">
        <v>10000</v>
      </c>
      <c r="H27" s="110">
        <v>10000</v>
      </c>
      <c r="I27" s="110">
        <v>10000</v>
      </c>
      <c r="J27" s="110">
        <v>10000</v>
      </c>
      <c r="K27" s="110">
        <v>10000</v>
      </c>
      <c r="L27" s="110">
        <v>10000</v>
      </c>
      <c r="M27" s="110">
        <v>10000</v>
      </c>
      <c r="N27" s="110">
        <v>10000</v>
      </c>
      <c r="O27" s="110">
        <v>10000</v>
      </c>
      <c r="P27" s="110">
        <f t="shared" si="14"/>
        <v>120000</v>
      </c>
      <c r="R27" s="110"/>
      <c r="S27" s="110"/>
      <c r="T27" s="110"/>
      <c r="U27" s="110"/>
      <c r="V27" s="110"/>
      <c r="W27" s="110"/>
      <c r="X27" s="110"/>
      <c r="Y27" s="110"/>
      <c r="Z27" s="110"/>
      <c r="AA27" s="110"/>
      <c r="AB27" s="110"/>
      <c r="AC27" s="110"/>
      <c r="AD27" s="110">
        <f t="shared" si="15"/>
        <v>0</v>
      </c>
      <c r="AF27" s="110"/>
      <c r="AG27" s="110"/>
      <c r="AH27" s="110"/>
      <c r="AI27" s="110"/>
      <c r="AJ27" s="110"/>
      <c r="AK27" s="110"/>
      <c r="AL27" s="110"/>
      <c r="AM27" s="110"/>
      <c r="AN27" s="110"/>
      <c r="AO27" s="110"/>
      <c r="AP27" s="110"/>
      <c r="AQ27" s="110"/>
      <c r="AR27" s="110">
        <f t="shared" si="16"/>
        <v>0</v>
      </c>
      <c r="AT27" s="110"/>
      <c r="AU27" s="110"/>
      <c r="AV27" s="110"/>
      <c r="AW27" s="110"/>
      <c r="AX27" s="110"/>
      <c r="AY27" s="110"/>
      <c r="AZ27" s="110"/>
      <c r="BA27" s="110"/>
      <c r="BB27" s="110"/>
      <c r="BC27" s="110"/>
      <c r="BD27" s="110"/>
      <c r="BE27" s="110"/>
      <c r="BF27" s="110">
        <f t="shared" si="17"/>
        <v>0</v>
      </c>
      <c r="BH27" s="110"/>
      <c r="BI27" s="110"/>
      <c r="BJ27" s="110"/>
      <c r="BK27" s="110"/>
      <c r="BL27" s="110"/>
      <c r="BM27" s="110"/>
      <c r="BN27" s="110"/>
      <c r="BO27" s="110"/>
      <c r="BP27" s="110"/>
      <c r="BQ27" s="110"/>
      <c r="BR27" s="110"/>
      <c r="BS27" s="110"/>
      <c r="BT27" s="110">
        <f t="shared" si="18"/>
        <v>0</v>
      </c>
      <c r="BV27" s="110"/>
      <c r="BW27" s="110"/>
      <c r="BX27" s="110"/>
      <c r="BY27" s="110"/>
      <c r="BZ27" s="110"/>
      <c r="CA27" s="110"/>
      <c r="CB27" s="110"/>
      <c r="CC27" s="110"/>
      <c r="CD27" s="110"/>
      <c r="CE27" s="110"/>
      <c r="CF27" s="110"/>
      <c r="CG27" s="110"/>
      <c r="CH27" s="110">
        <f t="shared" si="19"/>
        <v>0</v>
      </c>
      <c r="CJ27" s="110"/>
      <c r="CK27" s="110"/>
      <c r="CL27" s="110"/>
      <c r="CM27" s="110"/>
      <c r="CN27" s="110"/>
      <c r="CO27" s="110"/>
      <c r="CP27" s="110"/>
      <c r="CQ27" s="110"/>
      <c r="CR27" s="110"/>
      <c r="CS27" s="110"/>
      <c r="CT27" s="110"/>
      <c r="CU27" s="110"/>
      <c r="CV27" s="110">
        <f t="shared" si="20"/>
        <v>0</v>
      </c>
      <c r="CX27" s="110"/>
      <c r="CY27" s="110"/>
      <c r="CZ27" s="110"/>
      <c r="DA27" s="110"/>
      <c r="DB27" s="110"/>
      <c r="DC27" s="110"/>
      <c r="DD27" s="110"/>
      <c r="DE27" s="110"/>
      <c r="DF27" s="110"/>
      <c r="DG27" s="110"/>
      <c r="DH27" s="110"/>
      <c r="DI27" s="110"/>
      <c r="DJ27" s="110">
        <f t="shared" si="21"/>
        <v>0</v>
      </c>
      <c r="DL27" s="110"/>
      <c r="DM27" s="110"/>
      <c r="DN27" s="110"/>
      <c r="DO27" s="110"/>
      <c r="DP27" s="110"/>
      <c r="DQ27" s="110"/>
      <c r="DR27" s="110"/>
      <c r="DS27" s="110"/>
      <c r="DT27" s="110"/>
      <c r="DU27" s="110"/>
      <c r="DV27" s="110"/>
      <c r="DW27" s="110"/>
      <c r="DX27" s="110">
        <f t="shared" si="22"/>
        <v>0</v>
      </c>
      <c r="DZ27" s="110"/>
      <c r="EA27" s="110"/>
      <c r="EB27" s="110"/>
      <c r="EC27" s="110"/>
      <c r="ED27" s="110"/>
      <c r="EE27" s="110"/>
      <c r="EF27" s="110"/>
      <c r="EG27" s="110"/>
      <c r="EH27" s="110"/>
      <c r="EI27" s="110"/>
      <c r="EJ27" s="110"/>
      <c r="EK27" s="110"/>
      <c r="EL27" s="110">
        <f t="shared" si="23"/>
        <v>0</v>
      </c>
      <c r="EN27" s="110"/>
      <c r="EO27" s="110"/>
      <c r="EP27" s="110"/>
      <c r="EQ27" s="110"/>
      <c r="ER27" s="110"/>
      <c r="ES27" s="110"/>
      <c r="ET27" s="110"/>
      <c r="EU27" s="110"/>
      <c r="EV27" s="110"/>
      <c r="EW27" s="110"/>
      <c r="EX27" s="110"/>
      <c r="EY27" s="110"/>
      <c r="EZ27" s="110">
        <f t="shared" si="24"/>
        <v>0</v>
      </c>
      <c r="FB27" s="110"/>
      <c r="FC27" s="110"/>
      <c r="FD27" s="110"/>
      <c r="FE27" s="110"/>
      <c r="FF27" s="110"/>
      <c r="FG27" s="110"/>
      <c r="FH27" s="110"/>
      <c r="FI27" s="110"/>
      <c r="FJ27" s="110"/>
      <c r="FK27" s="110"/>
      <c r="FL27" s="110"/>
      <c r="FM27" s="110"/>
      <c r="FN27" s="110">
        <f t="shared" si="25"/>
        <v>0</v>
      </c>
      <c r="FP27" s="110"/>
      <c r="FQ27" s="110"/>
      <c r="FR27" s="110"/>
      <c r="FS27" s="110"/>
      <c r="FT27" s="110"/>
      <c r="FU27" s="110"/>
      <c r="FV27" s="110"/>
      <c r="FW27" s="110"/>
      <c r="FX27" s="110"/>
      <c r="FY27" s="110"/>
      <c r="FZ27" s="110"/>
      <c r="GA27" s="110"/>
      <c r="GB27" s="110">
        <f t="shared" si="26"/>
        <v>0</v>
      </c>
    </row>
    <row r="28" spans="2:184" s="108" customFormat="1" ht="13.8" customHeight="1" x14ac:dyDescent="0.3">
      <c r="B28" s="109" t="s">
        <v>21</v>
      </c>
      <c r="D28" s="110">
        <v>10000</v>
      </c>
      <c r="E28" s="110">
        <v>10000</v>
      </c>
      <c r="F28" s="110">
        <v>10000</v>
      </c>
      <c r="G28" s="110">
        <v>10000</v>
      </c>
      <c r="H28" s="110">
        <v>10000</v>
      </c>
      <c r="I28" s="110">
        <v>10000</v>
      </c>
      <c r="J28" s="110">
        <v>10000</v>
      </c>
      <c r="K28" s="110">
        <v>10000</v>
      </c>
      <c r="L28" s="110">
        <v>10000</v>
      </c>
      <c r="M28" s="110">
        <v>10000</v>
      </c>
      <c r="N28" s="110">
        <v>10000</v>
      </c>
      <c r="O28" s="110">
        <v>10000</v>
      </c>
      <c r="P28" s="110">
        <f t="shared" si="14"/>
        <v>120000</v>
      </c>
      <c r="R28" s="110"/>
      <c r="S28" s="110"/>
      <c r="T28" s="110"/>
      <c r="U28" s="110"/>
      <c r="V28" s="110"/>
      <c r="W28" s="110"/>
      <c r="X28" s="110"/>
      <c r="Y28" s="110"/>
      <c r="Z28" s="110"/>
      <c r="AA28" s="110"/>
      <c r="AB28" s="110"/>
      <c r="AC28" s="110"/>
      <c r="AD28" s="110">
        <f t="shared" si="15"/>
        <v>0</v>
      </c>
      <c r="AF28" s="110"/>
      <c r="AG28" s="110"/>
      <c r="AH28" s="110"/>
      <c r="AI28" s="110"/>
      <c r="AJ28" s="110"/>
      <c r="AK28" s="110"/>
      <c r="AL28" s="110"/>
      <c r="AM28" s="110"/>
      <c r="AN28" s="110"/>
      <c r="AO28" s="110"/>
      <c r="AP28" s="110"/>
      <c r="AQ28" s="110"/>
      <c r="AR28" s="110">
        <f t="shared" si="16"/>
        <v>0</v>
      </c>
      <c r="AT28" s="110"/>
      <c r="AU28" s="110"/>
      <c r="AV28" s="110"/>
      <c r="AW28" s="110"/>
      <c r="AX28" s="110"/>
      <c r="AY28" s="110"/>
      <c r="AZ28" s="110"/>
      <c r="BA28" s="110"/>
      <c r="BB28" s="110"/>
      <c r="BC28" s="110"/>
      <c r="BD28" s="110"/>
      <c r="BE28" s="110"/>
      <c r="BF28" s="110">
        <f t="shared" si="17"/>
        <v>0</v>
      </c>
      <c r="BH28" s="110"/>
      <c r="BI28" s="110"/>
      <c r="BJ28" s="110"/>
      <c r="BK28" s="110"/>
      <c r="BL28" s="110"/>
      <c r="BM28" s="110"/>
      <c r="BN28" s="110"/>
      <c r="BO28" s="110"/>
      <c r="BP28" s="110"/>
      <c r="BQ28" s="110"/>
      <c r="BR28" s="110"/>
      <c r="BS28" s="110"/>
      <c r="BT28" s="110">
        <f t="shared" si="18"/>
        <v>0</v>
      </c>
      <c r="BV28" s="110"/>
      <c r="BW28" s="110"/>
      <c r="BX28" s="110"/>
      <c r="BY28" s="110"/>
      <c r="BZ28" s="110"/>
      <c r="CA28" s="110"/>
      <c r="CB28" s="110"/>
      <c r="CC28" s="110"/>
      <c r="CD28" s="110"/>
      <c r="CE28" s="110"/>
      <c r="CF28" s="110"/>
      <c r="CG28" s="110"/>
      <c r="CH28" s="110">
        <f t="shared" si="19"/>
        <v>0</v>
      </c>
      <c r="CJ28" s="110"/>
      <c r="CK28" s="110"/>
      <c r="CL28" s="110"/>
      <c r="CM28" s="110"/>
      <c r="CN28" s="110"/>
      <c r="CO28" s="110"/>
      <c r="CP28" s="110"/>
      <c r="CQ28" s="110"/>
      <c r="CR28" s="110"/>
      <c r="CS28" s="110"/>
      <c r="CT28" s="110"/>
      <c r="CU28" s="110"/>
      <c r="CV28" s="110">
        <f t="shared" si="20"/>
        <v>0</v>
      </c>
      <c r="CX28" s="110"/>
      <c r="CY28" s="110"/>
      <c r="CZ28" s="110"/>
      <c r="DA28" s="110"/>
      <c r="DB28" s="110"/>
      <c r="DC28" s="110"/>
      <c r="DD28" s="110"/>
      <c r="DE28" s="110"/>
      <c r="DF28" s="110"/>
      <c r="DG28" s="110"/>
      <c r="DH28" s="110"/>
      <c r="DI28" s="110"/>
      <c r="DJ28" s="110">
        <f t="shared" si="21"/>
        <v>0</v>
      </c>
      <c r="DL28" s="110"/>
      <c r="DM28" s="110"/>
      <c r="DN28" s="110"/>
      <c r="DO28" s="110"/>
      <c r="DP28" s="110"/>
      <c r="DQ28" s="110"/>
      <c r="DR28" s="110"/>
      <c r="DS28" s="110"/>
      <c r="DT28" s="110"/>
      <c r="DU28" s="110"/>
      <c r="DV28" s="110"/>
      <c r="DW28" s="110"/>
      <c r="DX28" s="110">
        <f t="shared" si="22"/>
        <v>0</v>
      </c>
      <c r="DZ28" s="110"/>
      <c r="EA28" s="110"/>
      <c r="EB28" s="110"/>
      <c r="EC28" s="110"/>
      <c r="ED28" s="110"/>
      <c r="EE28" s="110"/>
      <c r="EF28" s="110"/>
      <c r="EG28" s="110"/>
      <c r="EH28" s="110"/>
      <c r="EI28" s="110"/>
      <c r="EJ28" s="110"/>
      <c r="EK28" s="110"/>
      <c r="EL28" s="110">
        <f t="shared" si="23"/>
        <v>0</v>
      </c>
      <c r="EN28" s="110"/>
      <c r="EO28" s="110"/>
      <c r="EP28" s="110"/>
      <c r="EQ28" s="110"/>
      <c r="ER28" s="110"/>
      <c r="ES28" s="110"/>
      <c r="ET28" s="110"/>
      <c r="EU28" s="110"/>
      <c r="EV28" s="110"/>
      <c r="EW28" s="110"/>
      <c r="EX28" s="110"/>
      <c r="EY28" s="110"/>
      <c r="EZ28" s="110">
        <f t="shared" si="24"/>
        <v>0</v>
      </c>
      <c r="FB28" s="110"/>
      <c r="FC28" s="110"/>
      <c r="FD28" s="110"/>
      <c r="FE28" s="110"/>
      <c r="FF28" s="110"/>
      <c r="FG28" s="110"/>
      <c r="FH28" s="110"/>
      <c r="FI28" s="110"/>
      <c r="FJ28" s="110"/>
      <c r="FK28" s="110"/>
      <c r="FL28" s="110"/>
      <c r="FM28" s="110"/>
      <c r="FN28" s="110">
        <f t="shared" si="25"/>
        <v>0</v>
      </c>
      <c r="FP28" s="110"/>
      <c r="FQ28" s="110"/>
      <c r="FR28" s="110"/>
      <c r="FS28" s="110"/>
      <c r="FT28" s="110"/>
      <c r="FU28" s="110"/>
      <c r="FV28" s="110"/>
      <c r="FW28" s="110"/>
      <c r="FX28" s="110"/>
      <c r="FY28" s="110"/>
      <c r="FZ28" s="110"/>
      <c r="GA28" s="110"/>
      <c r="GB28" s="110">
        <f t="shared" si="26"/>
        <v>0</v>
      </c>
    </row>
    <row r="29" spans="2:184" s="108" customFormat="1" ht="13.8" customHeight="1" x14ac:dyDescent="0.3">
      <c r="B29" s="109" t="s">
        <v>22</v>
      </c>
      <c r="D29" s="110">
        <v>1000</v>
      </c>
      <c r="E29" s="110">
        <v>1000</v>
      </c>
      <c r="F29" s="110">
        <v>1000</v>
      </c>
      <c r="G29" s="110">
        <v>1000</v>
      </c>
      <c r="H29" s="110">
        <v>1000</v>
      </c>
      <c r="I29" s="110">
        <v>1000</v>
      </c>
      <c r="J29" s="110">
        <v>1000</v>
      </c>
      <c r="K29" s="110">
        <v>1000</v>
      </c>
      <c r="L29" s="110">
        <v>1000</v>
      </c>
      <c r="M29" s="110">
        <v>1000</v>
      </c>
      <c r="N29" s="110">
        <v>1000</v>
      </c>
      <c r="O29" s="110">
        <v>1000</v>
      </c>
      <c r="P29" s="110">
        <f t="shared" si="14"/>
        <v>12000</v>
      </c>
      <c r="R29" s="110"/>
      <c r="S29" s="110"/>
      <c r="T29" s="110"/>
      <c r="U29" s="110"/>
      <c r="V29" s="110"/>
      <c r="W29" s="110"/>
      <c r="X29" s="110"/>
      <c r="Y29" s="110"/>
      <c r="Z29" s="110"/>
      <c r="AA29" s="110"/>
      <c r="AB29" s="110"/>
      <c r="AC29" s="110"/>
      <c r="AD29" s="110">
        <f t="shared" si="15"/>
        <v>0</v>
      </c>
      <c r="AF29" s="110"/>
      <c r="AG29" s="110"/>
      <c r="AH29" s="110"/>
      <c r="AI29" s="110"/>
      <c r="AJ29" s="110"/>
      <c r="AK29" s="110"/>
      <c r="AL29" s="110"/>
      <c r="AM29" s="110"/>
      <c r="AN29" s="110"/>
      <c r="AO29" s="110"/>
      <c r="AP29" s="110"/>
      <c r="AQ29" s="110"/>
      <c r="AR29" s="110">
        <f t="shared" si="16"/>
        <v>0</v>
      </c>
      <c r="AT29" s="110"/>
      <c r="AU29" s="110"/>
      <c r="AV29" s="110"/>
      <c r="AW29" s="110"/>
      <c r="AX29" s="110"/>
      <c r="AY29" s="110"/>
      <c r="AZ29" s="110"/>
      <c r="BA29" s="110"/>
      <c r="BB29" s="110"/>
      <c r="BC29" s="110"/>
      <c r="BD29" s="110"/>
      <c r="BE29" s="110"/>
      <c r="BF29" s="110">
        <f t="shared" si="17"/>
        <v>0</v>
      </c>
      <c r="BH29" s="110"/>
      <c r="BI29" s="110"/>
      <c r="BJ29" s="110"/>
      <c r="BK29" s="110"/>
      <c r="BL29" s="110"/>
      <c r="BM29" s="110"/>
      <c r="BN29" s="110"/>
      <c r="BO29" s="110"/>
      <c r="BP29" s="110"/>
      <c r="BQ29" s="110"/>
      <c r="BR29" s="110"/>
      <c r="BS29" s="110"/>
      <c r="BT29" s="110">
        <f t="shared" si="18"/>
        <v>0</v>
      </c>
      <c r="BV29" s="110"/>
      <c r="BW29" s="110"/>
      <c r="BX29" s="110"/>
      <c r="BY29" s="110"/>
      <c r="BZ29" s="110"/>
      <c r="CA29" s="110"/>
      <c r="CB29" s="110"/>
      <c r="CC29" s="110"/>
      <c r="CD29" s="110"/>
      <c r="CE29" s="110"/>
      <c r="CF29" s="110"/>
      <c r="CG29" s="110"/>
      <c r="CH29" s="110">
        <f t="shared" si="19"/>
        <v>0</v>
      </c>
      <c r="CJ29" s="110"/>
      <c r="CK29" s="110"/>
      <c r="CL29" s="110"/>
      <c r="CM29" s="110"/>
      <c r="CN29" s="110"/>
      <c r="CO29" s="110"/>
      <c r="CP29" s="110"/>
      <c r="CQ29" s="110"/>
      <c r="CR29" s="110"/>
      <c r="CS29" s="110"/>
      <c r="CT29" s="110"/>
      <c r="CU29" s="110"/>
      <c r="CV29" s="110">
        <f t="shared" si="20"/>
        <v>0</v>
      </c>
      <c r="CX29" s="110"/>
      <c r="CY29" s="110"/>
      <c r="CZ29" s="110"/>
      <c r="DA29" s="110"/>
      <c r="DB29" s="110"/>
      <c r="DC29" s="110"/>
      <c r="DD29" s="110"/>
      <c r="DE29" s="110"/>
      <c r="DF29" s="110"/>
      <c r="DG29" s="110"/>
      <c r="DH29" s="110"/>
      <c r="DI29" s="110"/>
      <c r="DJ29" s="110">
        <f t="shared" si="21"/>
        <v>0</v>
      </c>
      <c r="DL29" s="110"/>
      <c r="DM29" s="110"/>
      <c r="DN29" s="110"/>
      <c r="DO29" s="110"/>
      <c r="DP29" s="110"/>
      <c r="DQ29" s="110"/>
      <c r="DR29" s="110"/>
      <c r="DS29" s="110"/>
      <c r="DT29" s="110"/>
      <c r="DU29" s="110"/>
      <c r="DV29" s="110"/>
      <c r="DW29" s="110"/>
      <c r="DX29" s="110">
        <f t="shared" si="22"/>
        <v>0</v>
      </c>
      <c r="DZ29" s="110"/>
      <c r="EA29" s="110"/>
      <c r="EB29" s="110"/>
      <c r="EC29" s="110"/>
      <c r="ED29" s="110"/>
      <c r="EE29" s="110"/>
      <c r="EF29" s="110"/>
      <c r="EG29" s="110"/>
      <c r="EH29" s="110"/>
      <c r="EI29" s="110"/>
      <c r="EJ29" s="110"/>
      <c r="EK29" s="110"/>
      <c r="EL29" s="110">
        <f t="shared" si="23"/>
        <v>0</v>
      </c>
      <c r="EN29" s="110"/>
      <c r="EO29" s="110"/>
      <c r="EP29" s="110"/>
      <c r="EQ29" s="110"/>
      <c r="ER29" s="110"/>
      <c r="ES29" s="110"/>
      <c r="ET29" s="110"/>
      <c r="EU29" s="110"/>
      <c r="EV29" s="110"/>
      <c r="EW29" s="110"/>
      <c r="EX29" s="110"/>
      <c r="EY29" s="110"/>
      <c r="EZ29" s="110">
        <f t="shared" si="24"/>
        <v>0</v>
      </c>
      <c r="FB29" s="110"/>
      <c r="FC29" s="110"/>
      <c r="FD29" s="110"/>
      <c r="FE29" s="110"/>
      <c r="FF29" s="110"/>
      <c r="FG29" s="110"/>
      <c r="FH29" s="110"/>
      <c r="FI29" s="110"/>
      <c r="FJ29" s="110"/>
      <c r="FK29" s="110"/>
      <c r="FL29" s="110"/>
      <c r="FM29" s="110"/>
      <c r="FN29" s="110">
        <f t="shared" si="25"/>
        <v>0</v>
      </c>
      <c r="FP29" s="110"/>
      <c r="FQ29" s="110"/>
      <c r="FR29" s="110"/>
      <c r="FS29" s="110"/>
      <c r="FT29" s="110"/>
      <c r="FU29" s="110"/>
      <c r="FV29" s="110"/>
      <c r="FW29" s="110"/>
      <c r="FX29" s="110"/>
      <c r="FY29" s="110"/>
      <c r="FZ29" s="110"/>
      <c r="GA29" s="110"/>
      <c r="GB29" s="110">
        <f t="shared" si="26"/>
        <v>0</v>
      </c>
    </row>
    <row r="30" spans="2:184" s="108" customFormat="1" ht="13.8" customHeight="1" x14ac:dyDescent="0.3">
      <c r="B30" s="109" t="s">
        <v>24</v>
      </c>
      <c r="D30" s="110">
        <v>100000</v>
      </c>
      <c r="E30" s="110"/>
      <c r="F30" s="110"/>
      <c r="G30" s="110"/>
      <c r="H30" s="110">
        <v>100000</v>
      </c>
      <c r="I30" s="110"/>
      <c r="J30" s="110"/>
      <c r="K30" s="110"/>
      <c r="L30" s="110">
        <v>100000</v>
      </c>
      <c r="M30" s="110"/>
      <c r="N30" s="110">
        <v>300</v>
      </c>
      <c r="O30" s="110">
        <v>300</v>
      </c>
      <c r="P30" s="110">
        <f t="shared" si="14"/>
        <v>300600</v>
      </c>
      <c r="R30" s="110"/>
      <c r="S30" s="110"/>
      <c r="T30" s="110"/>
      <c r="U30" s="110"/>
      <c r="V30" s="110"/>
      <c r="W30" s="110"/>
      <c r="X30" s="110"/>
      <c r="Y30" s="110"/>
      <c r="Z30" s="110"/>
      <c r="AA30" s="110"/>
      <c r="AB30" s="110"/>
      <c r="AC30" s="110"/>
      <c r="AD30" s="110">
        <f t="shared" si="15"/>
        <v>0</v>
      </c>
      <c r="AF30" s="110"/>
      <c r="AG30" s="110"/>
      <c r="AH30" s="110"/>
      <c r="AI30" s="110"/>
      <c r="AJ30" s="110"/>
      <c r="AK30" s="110"/>
      <c r="AL30" s="110"/>
      <c r="AM30" s="110"/>
      <c r="AN30" s="110"/>
      <c r="AO30" s="110"/>
      <c r="AP30" s="110"/>
      <c r="AQ30" s="110"/>
      <c r="AR30" s="110">
        <f t="shared" si="16"/>
        <v>0</v>
      </c>
      <c r="AT30" s="110"/>
      <c r="AU30" s="110"/>
      <c r="AV30" s="110"/>
      <c r="AW30" s="110"/>
      <c r="AX30" s="110"/>
      <c r="AY30" s="110"/>
      <c r="AZ30" s="110"/>
      <c r="BA30" s="110"/>
      <c r="BB30" s="110"/>
      <c r="BC30" s="110"/>
      <c r="BD30" s="110"/>
      <c r="BE30" s="110"/>
      <c r="BF30" s="110">
        <f t="shared" si="17"/>
        <v>0</v>
      </c>
      <c r="BH30" s="110"/>
      <c r="BI30" s="110"/>
      <c r="BJ30" s="110"/>
      <c r="BK30" s="110"/>
      <c r="BL30" s="110"/>
      <c r="BM30" s="110"/>
      <c r="BN30" s="110"/>
      <c r="BO30" s="110"/>
      <c r="BP30" s="110"/>
      <c r="BQ30" s="110"/>
      <c r="BR30" s="110"/>
      <c r="BS30" s="110"/>
      <c r="BT30" s="110">
        <f t="shared" si="18"/>
        <v>0</v>
      </c>
      <c r="BV30" s="110"/>
      <c r="BW30" s="110"/>
      <c r="BX30" s="110"/>
      <c r="BY30" s="110"/>
      <c r="BZ30" s="110"/>
      <c r="CA30" s="110"/>
      <c r="CB30" s="110"/>
      <c r="CC30" s="110"/>
      <c r="CD30" s="110"/>
      <c r="CE30" s="110"/>
      <c r="CF30" s="110"/>
      <c r="CG30" s="110"/>
      <c r="CH30" s="110">
        <f t="shared" si="19"/>
        <v>0</v>
      </c>
      <c r="CJ30" s="110"/>
      <c r="CK30" s="110"/>
      <c r="CL30" s="110"/>
      <c r="CM30" s="110"/>
      <c r="CN30" s="110"/>
      <c r="CO30" s="110"/>
      <c r="CP30" s="110"/>
      <c r="CQ30" s="110"/>
      <c r="CR30" s="110"/>
      <c r="CS30" s="110"/>
      <c r="CT30" s="110"/>
      <c r="CU30" s="110"/>
      <c r="CV30" s="110">
        <f t="shared" si="20"/>
        <v>0</v>
      </c>
      <c r="CX30" s="110"/>
      <c r="CY30" s="110"/>
      <c r="CZ30" s="110"/>
      <c r="DA30" s="110"/>
      <c r="DB30" s="110"/>
      <c r="DC30" s="110"/>
      <c r="DD30" s="110"/>
      <c r="DE30" s="110"/>
      <c r="DF30" s="110"/>
      <c r="DG30" s="110"/>
      <c r="DH30" s="110"/>
      <c r="DI30" s="110"/>
      <c r="DJ30" s="110">
        <f t="shared" si="21"/>
        <v>0</v>
      </c>
      <c r="DL30" s="110"/>
      <c r="DM30" s="110"/>
      <c r="DN30" s="110"/>
      <c r="DO30" s="110"/>
      <c r="DP30" s="110"/>
      <c r="DQ30" s="110"/>
      <c r="DR30" s="110"/>
      <c r="DS30" s="110"/>
      <c r="DT30" s="110"/>
      <c r="DU30" s="110"/>
      <c r="DV30" s="110"/>
      <c r="DW30" s="110"/>
      <c r="DX30" s="110">
        <f t="shared" si="22"/>
        <v>0</v>
      </c>
      <c r="DZ30" s="110"/>
      <c r="EA30" s="110"/>
      <c r="EB30" s="110"/>
      <c r="EC30" s="110"/>
      <c r="ED30" s="110"/>
      <c r="EE30" s="110"/>
      <c r="EF30" s="110"/>
      <c r="EG30" s="110"/>
      <c r="EH30" s="110"/>
      <c r="EI30" s="110"/>
      <c r="EJ30" s="110"/>
      <c r="EK30" s="110"/>
      <c r="EL30" s="110">
        <f t="shared" si="23"/>
        <v>0</v>
      </c>
      <c r="EN30" s="110"/>
      <c r="EO30" s="110"/>
      <c r="EP30" s="110"/>
      <c r="EQ30" s="110"/>
      <c r="ER30" s="110"/>
      <c r="ES30" s="110"/>
      <c r="ET30" s="110"/>
      <c r="EU30" s="110"/>
      <c r="EV30" s="110"/>
      <c r="EW30" s="110"/>
      <c r="EX30" s="110"/>
      <c r="EY30" s="110"/>
      <c r="EZ30" s="110">
        <f t="shared" si="24"/>
        <v>0</v>
      </c>
      <c r="FB30" s="110"/>
      <c r="FC30" s="110"/>
      <c r="FD30" s="110"/>
      <c r="FE30" s="110"/>
      <c r="FF30" s="110"/>
      <c r="FG30" s="110"/>
      <c r="FH30" s="110"/>
      <c r="FI30" s="110"/>
      <c r="FJ30" s="110"/>
      <c r="FK30" s="110"/>
      <c r="FL30" s="110"/>
      <c r="FM30" s="110"/>
      <c r="FN30" s="110">
        <f t="shared" si="25"/>
        <v>0</v>
      </c>
      <c r="FP30" s="110"/>
      <c r="FQ30" s="110"/>
      <c r="FR30" s="110"/>
      <c r="FS30" s="110"/>
      <c r="FT30" s="110"/>
      <c r="FU30" s="110"/>
      <c r="FV30" s="110"/>
      <c r="FW30" s="110"/>
      <c r="FX30" s="110"/>
      <c r="FY30" s="110"/>
      <c r="FZ30" s="110"/>
      <c r="GA30" s="110"/>
      <c r="GB30" s="110">
        <f t="shared" si="26"/>
        <v>0</v>
      </c>
    </row>
    <row r="31" spans="2:184" s="108" customFormat="1" ht="13.8" customHeight="1" x14ac:dyDescent="0.3">
      <c r="B31" s="109" t="s">
        <v>25</v>
      </c>
      <c r="D31" s="110">
        <v>9000</v>
      </c>
      <c r="E31" s="110">
        <v>9000</v>
      </c>
      <c r="F31" s="110">
        <v>9000</v>
      </c>
      <c r="G31" s="110">
        <v>9000</v>
      </c>
      <c r="H31" s="110">
        <v>9000</v>
      </c>
      <c r="I31" s="110">
        <v>9000</v>
      </c>
      <c r="J31" s="110">
        <v>9000</v>
      </c>
      <c r="K31" s="110">
        <v>9000</v>
      </c>
      <c r="L31" s="110">
        <v>9000</v>
      </c>
      <c r="M31" s="110">
        <v>9000</v>
      </c>
      <c r="N31" s="110">
        <v>9000</v>
      </c>
      <c r="O31" s="110">
        <v>9000</v>
      </c>
      <c r="P31" s="110">
        <f t="shared" si="14"/>
        <v>108000</v>
      </c>
      <c r="R31" s="110"/>
      <c r="S31" s="110"/>
      <c r="T31" s="110"/>
      <c r="U31" s="110"/>
      <c r="V31" s="110"/>
      <c r="W31" s="110"/>
      <c r="X31" s="110"/>
      <c r="Y31" s="110"/>
      <c r="Z31" s="110"/>
      <c r="AA31" s="110"/>
      <c r="AB31" s="110"/>
      <c r="AC31" s="110"/>
      <c r="AD31" s="110">
        <f t="shared" si="15"/>
        <v>0</v>
      </c>
      <c r="AF31" s="110"/>
      <c r="AG31" s="110"/>
      <c r="AH31" s="110"/>
      <c r="AI31" s="110"/>
      <c r="AJ31" s="110"/>
      <c r="AK31" s="110"/>
      <c r="AL31" s="110"/>
      <c r="AM31" s="110"/>
      <c r="AN31" s="110"/>
      <c r="AO31" s="110"/>
      <c r="AP31" s="110"/>
      <c r="AQ31" s="110"/>
      <c r="AR31" s="110">
        <f t="shared" si="16"/>
        <v>0</v>
      </c>
      <c r="AT31" s="110"/>
      <c r="AU31" s="110"/>
      <c r="AV31" s="110"/>
      <c r="AW31" s="110"/>
      <c r="AX31" s="110"/>
      <c r="AY31" s="110"/>
      <c r="AZ31" s="110"/>
      <c r="BA31" s="110"/>
      <c r="BB31" s="110"/>
      <c r="BC31" s="110"/>
      <c r="BD31" s="110"/>
      <c r="BE31" s="110"/>
      <c r="BF31" s="110">
        <f t="shared" si="17"/>
        <v>0</v>
      </c>
      <c r="BH31" s="110"/>
      <c r="BI31" s="110"/>
      <c r="BJ31" s="110"/>
      <c r="BK31" s="110"/>
      <c r="BL31" s="110"/>
      <c r="BM31" s="110"/>
      <c r="BN31" s="110"/>
      <c r="BO31" s="110"/>
      <c r="BP31" s="110"/>
      <c r="BQ31" s="110"/>
      <c r="BR31" s="110"/>
      <c r="BS31" s="110"/>
      <c r="BT31" s="110">
        <f t="shared" si="18"/>
        <v>0</v>
      </c>
      <c r="BV31" s="110"/>
      <c r="BW31" s="110"/>
      <c r="BX31" s="110"/>
      <c r="BY31" s="110"/>
      <c r="BZ31" s="110"/>
      <c r="CA31" s="110"/>
      <c r="CB31" s="110"/>
      <c r="CC31" s="110"/>
      <c r="CD31" s="110"/>
      <c r="CE31" s="110"/>
      <c r="CF31" s="110"/>
      <c r="CG31" s="110"/>
      <c r="CH31" s="110">
        <f t="shared" si="19"/>
        <v>0</v>
      </c>
      <c r="CJ31" s="110"/>
      <c r="CK31" s="110"/>
      <c r="CL31" s="110"/>
      <c r="CM31" s="110"/>
      <c r="CN31" s="110"/>
      <c r="CO31" s="110"/>
      <c r="CP31" s="110"/>
      <c r="CQ31" s="110"/>
      <c r="CR31" s="110"/>
      <c r="CS31" s="110"/>
      <c r="CT31" s="110"/>
      <c r="CU31" s="110"/>
      <c r="CV31" s="110">
        <f t="shared" si="20"/>
        <v>0</v>
      </c>
      <c r="CX31" s="110"/>
      <c r="CY31" s="110"/>
      <c r="CZ31" s="110"/>
      <c r="DA31" s="110"/>
      <c r="DB31" s="110"/>
      <c r="DC31" s="110"/>
      <c r="DD31" s="110"/>
      <c r="DE31" s="110"/>
      <c r="DF31" s="110"/>
      <c r="DG31" s="110"/>
      <c r="DH31" s="110"/>
      <c r="DI31" s="110"/>
      <c r="DJ31" s="110">
        <f t="shared" si="21"/>
        <v>0</v>
      </c>
      <c r="DL31" s="110"/>
      <c r="DM31" s="110"/>
      <c r="DN31" s="110"/>
      <c r="DO31" s="110"/>
      <c r="DP31" s="110"/>
      <c r="DQ31" s="110"/>
      <c r="DR31" s="110"/>
      <c r="DS31" s="110"/>
      <c r="DT31" s="110"/>
      <c r="DU31" s="110"/>
      <c r="DV31" s="110"/>
      <c r="DW31" s="110"/>
      <c r="DX31" s="110">
        <f t="shared" si="22"/>
        <v>0</v>
      </c>
      <c r="DZ31" s="110"/>
      <c r="EA31" s="110"/>
      <c r="EB31" s="110"/>
      <c r="EC31" s="110"/>
      <c r="ED31" s="110"/>
      <c r="EE31" s="110"/>
      <c r="EF31" s="110"/>
      <c r="EG31" s="110"/>
      <c r="EH31" s="110"/>
      <c r="EI31" s="110"/>
      <c r="EJ31" s="110"/>
      <c r="EK31" s="110"/>
      <c r="EL31" s="110">
        <f t="shared" si="23"/>
        <v>0</v>
      </c>
      <c r="EN31" s="110"/>
      <c r="EO31" s="110"/>
      <c r="EP31" s="110"/>
      <c r="EQ31" s="110"/>
      <c r="ER31" s="110"/>
      <c r="ES31" s="110"/>
      <c r="ET31" s="110"/>
      <c r="EU31" s="110"/>
      <c r="EV31" s="110"/>
      <c r="EW31" s="110"/>
      <c r="EX31" s="110"/>
      <c r="EY31" s="110"/>
      <c r="EZ31" s="110">
        <f t="shared" si="24"/>
        <v>0</v>
      </c>
      <c r="FB31" s="110"/>
      <c r="FC31" s="110"/>
      <c r="FD31" s="110"/>
      <c r="FE31" s="110"/>
      <c r="FF31" s="110"/>
      <c r="FG31" s="110"/>
      <c r="FH31" s="110"/>
      <c r="FI31" s="110"/>
      <c r="FJ31" s="110"/>
      <c r="FK31" s="110"/>
      <c r="FL31" s="110"/>
      <c r="FM31" s="110"/>
      <c r="FN31" s="110">
        <f t="shared" si="25"/>
        <v>0</v>
      </c>
      <c r="FP31" s="110"/>
      <c r="FQ31" s="110"/>
      <c r="FR31" s="110"/>
      <c r="FS31" s="110"/>
      <c r="FT31" s="110"/>
      <c r="FU31" s="110"/>
      <c r="FV31" s="110"/>
      <c r="FW31" s="110"/>
      <c r="FX31" s="110"/>
      <c r="FY31" s="110"/>
      <c r="FZ31" s="110"/>
      <c r="GA31" s="110"/>
      <c r="GB31" s="110">
        <f t="shared" si="26"/>
        <v>0</v>
      </c>
    </row>
    <row r="32" spans="2:184" s="108" customFormat="1" ht="13.8" customHeight="1" x14ac:dyDescent="0.3">
      <c r="B32" s="109" t="s">
        <v>26</v>
      </c>
      <c r="D32" s="110"/>
      <c r="E32" s="110"/>
      <c r="F32" s="110">
        <v>20000</v>
      </c>
      <c r="G32" s="110"/>
      <c r="H32" s="110"/>
      <c r="I32" s="110"/>
      <c r="J32" s="110">
        <v>20000</v>
      </c>
      <c r="K32" s="110"/>
      <c r="L32" s="110"/>
      <c r="M32" s="110"/>
      <c r="N32" s="110">
        <v>20000</v>
      </c>
      <c r="O32" s="110"/>
      <c r="P32" s="110">
        <f t="shared" si="14"/>
        <v>60000</v>
      </c>
      <c r="R32" s="110"/>
      <c r="S32" s="110"/>
      <c r="T32" s="110"/>
      <c r="U32" s="110"/>
      <c r="V32" s="110"/>
      <c r="W32" s="110"/>
      <c r="X32" s="110"/>
      <c r="Y32" s="110"/>
      <c r="Z32" s="110"/>
      <c r="AA32" s="110"/>
      <c r="AB32" s="110"/>
      <c r="AC32" s="110"/>
      <c r="AD32" s="110">
        <f t="shared" si="15"/>
        <v>0</v>
      </c>
      <c r="AF32" s="110"/>
      <c r="AG32" s="110"/>
      <c r="AH32" s="110"/>
      <c r="AI32" s="110"/>
      <c r="AJ32" s="110"/>
      <c r="AK32" s="110"/>
      <c r="AL32" s="110"/>
      <c r="AM32" s="110"/>
      <c r="AN32" s="110"/>
      <c r="AO32" s="110"/>
      <c r="AP32" s="110"/>
      <c r="AQ32" s="110"/>
      <c r="AR32" s="110">
        <f t="shared" si="16"/>
        <v>0</v>
      </c>
      <c r="AT32" s="110"/>
      <c r="AU32" s="110"/>
      <c r="AV32" s="110"/>
      <c r="AW32" s="110"/>
      <c r="AX32" s="110"/>
      <c r="AY32" s="110"/>
      <c r="AZ32" s="110"/>
      <c r="BA32" s="110"/>
      <c r="BB32" s="110"/>
      <c r="BC32" s="110"/>
      <c r="BD32" s="110"/>
      <c r="BE32" s="110"/>
      <c r="BF32" s="110">
        <f t="shared" si="17"/>
        <v>0</v>
      </c>
      <c r="BH32" s="110"/>
      <c r="BI32" s="110"/>
      <c r="BJ32" s="110"/>
      <c r="BK32" s="110"/>
      <c r="BL32" s="110"/>
      <c r="BM32" s="110"/>
      <c r="BN32" s="110"/>
      <c r="BO32" s="110"/>
      <c r="BP32" s="110"/>
      <c r="BQ32" s="110"/>
      <c r="BR32" s="110"/>
      <c r="BS32" s="110"/>
      <c r="BT32" s="110">
        <f t="shared" si="18"/>
        <v>0</v>
      </c>
      <c r="BV32" s="110"/>
      <c r="BW32" s="110"/>
      <c r="BX32" s="110"/>
      <c r="BY32" s="110"/>
      <c r="BZ32" s="110"/>
      <c r="CA32" s="110"/>
      <c r="CB32" s="110"/>
      <c r="CC32" s="110"/>
      <c r="CD32" s="110"/>
      <c r="CE32" s="110"/>
      <c r="CF32" s="110"/>
      <c r="CG32" s="110"/>
      <c r="CH32" s="110">
        <f t="shared" si="19"/>
        <v>0</v>
      </c>
      <c r="CJ32" s="110"/>
      <c r="CK32" s="110"/>
      <c r="CL32" s="110"/>
      <c r="CM32" s="110"/>
      <c r="CN32" s="110"/>
      <c r="CO32" s="110"/>
      <c r="CP32" s="110"/>
      <c r="CQ32" s="110"/>
      <c r="CR32" s="110"/>
      <c r="CS32" s="110"/>
      <c r="CT32" s="110"/>
      <c r="CU32" s="110"/>
      <c r="CV32" s="110">
        <f t="shared" si="20"/>
        <v>0</v>
      </c>
      <c r="CX32" s="110"/>
      <c r="CY32" s="110"/>
      <c r="CZ32" s="110"/>
      <c r="DA32" s="110"/>
      <c r="DB32" s="110"/>
      <c r="DC32" s="110"/>
      <c r="DD32" s="110"/>
      <c r="DE32" s="110"/>
      <c r="DF32" s="110"/>
      <c r="DG32" s="110"/>
      <c r="DH32" s="110"/>
      <c r="DI32" s="110"/>
      <c r="DJ32" s="110">
        <f t="shared" si="21"/>
        <v>0</v>
      </c>
      <c r="DL32" s="110"/>
      <c r="DM32" s="110"/>
      <c r="DN32" s="110"/>
      <c r="DO32" s="110"/>
      <c r="DP32" s="110"/>
      <c r="DQ32" s="110"/>
      <c r="DR32" s="110"/>
      <c r="DS32" s="110"/>
      <c r="DT32" s="110"/>
      <c r="DU32" s="110"/>
      <c r="DV32" s="110"/>
      <c r="DW32" s="110"/>
      <c r="DX32" s="110">
        <f t="shared" si="22"/>
        <v>0</v>
      </c>
      <c r="DZ32" s="110"/>
      <c r="EA32" s="110"/>
      <c r="EB32" s="110"/>
      <c r="EC32" s="110"/>
      <c r="ED32" s="110"/>
      <c r="EE32" s="110"/>
      <c r="EF32" s="110"/>
      <c r="EG32" s="110"/>
      <c r="EH32" s="110"/>
      <c r="EI32" s="110"/>
      <c r="EJ32" s="110"/>
      <c r="EK32" s="110"/>
      <c r="EL32" s="110">
        <f t="shared" si="23"/>
        <v>0</v>
      </c>
      <c r="EN32" s="110"/>
      <c r="EO32" s="110"/>
      <c r="EP32" s="110"/>
      <c r="EQ32" s="110"/>
      <c r="ER32" s="110"/>
      <c r="ES32" s="110"/>
      <c r="ET32" s="110"/>
      <c r="EU32" s="110"/>
      <c r="EV32" s="110"/>
      <c r="EW32" s="110"/>
      <c r="EX32" s="110"/>
      <c r="EY32" s="110"/>
      <c r="EZ32" s="110">
        <f t="shared" si="24"/>
        <v>0</v>
      </c>
      <c r="FB32" s="110"/>
      <c r="FC32" s="110"/>
      <c r="FD32" s="110"/>
      <c r="FE32" s="110"/>
      <c r="FF32" s="110"/>
      <c r="FG32" s="110"/>
      <c r="FH32" s="110"/>
      <c r="FI32" s="110"/>
      <c r="FJ32" s="110"/>
      <c r="FK32" s="110"/>
      <c r="FL32" s="110"/>
      <c r="FM32" s="110"/>
      <c r="FN32" s="110">
        <f t="shared" si="25"/>
        <v>0</v>
      </c>
      <c r="FP32" s="110"/>
      <c r="FQ32" s="110"/>
      <c r="FR32" s="110"/>
      <c r="FS32" s="110"/>
      <c r="FT32" s="110"/>
      <c r="FU32" s="110"/>
      <c r="FV32" s="110"/>
      <c r="FW32" s="110"/>
      <c r="FX32" s="110"/>
      <c r="FY32" s="110"/>
      <c r="FZ32" s="110"/>
      <c r="GA32" s="110"/>
      <c r="GB32" s="110">
        <f t="shared" si="26"/>
        <v>0</v>
      </c>
    </row>
    <row r="33" spans="2:184" s="108" customFormat="1" ht="13.8" customHeight="1" x14ac:dyDescent="0.3">
      <c r="B33" s="109" t="s">
        <v>29</v>
      </c>
      <c r="D33" s="110"/>
      <c r="E33" s="110">
        <v>10000</v>
      </c>
      <c r="F33" s="110">
        <v>10000</v>
      </c>
      <c r="G33" s="110">
        <v>10000</v>
      </c>
      <c r="H33" s="110"/>
      <c r="I33" s="110">
        <v>10000</v>
      </c>
      <c r="J33" s="110">
        <v>10000</v>
      </c>
      <c r="K33" s="110">
        <v>10000</v>
      </c>
      <c r="L33" s="110"/>
      <c r="M33" s="110">
        <v>10000</v>
      </c>
      <c r="N33" s="110">
        <v>10000</v>
      </c>
      <c r="O33" s="110">
        <v>10000</v>
      </c>
      <c r="P33" s="110">
        <f t="shared" si="14"/>
        <v>90000</v>
      </c>
      <c r="R33" s="110"/>
      <c r="S33" s="110"/>
      <c r="T33" s="110"/>
      <c r="U33" s="110"/>
      <c r="V33" s="110"/>
      <c r="W33" s="110"/>
      <c r="X33" s="110"/>
      <c r="Y33" s="110"/>
      <c r="Z33" s="110"/>
      <c r="AA33" s="110"/>
      <c r="AB33" s="110"/>
      <c r="AC33" s="110"/>
      <c r="AD33" s="110">
        <f t="shared" si="15"/>
        <v>0</v>
      </c>
      <c r="AF33" s="110"/>
      <c r="AG33" s="110"/>
      <c r="AH33" s="110"/>
      <c r="AI33" s="110"/>
      <c r="AJ33" s="110"/>
      <c r="AK33" s="110"/>
      <c r="AL33" s="110"/>
      <c r="AM33" s="110"/>
      <c r="AN33" s="110"/>
      <c r="AO33" s="110"/>
      <c r="AP33" s="110"/>
      <c r="AQ33" s="110"/>
      <c r="AR33" s="110">
        <f t="shared" si="16"/>
        <v>0</v>
      </c>
      <c r="AT33" s="110"/>
      <c r="AU33" s="110"/>
      <c r="AV33" s="110"/>
      <c r="AW33" s="110"/>
      <c r="AX33" s="110"/>
      <c r="AY33" s="110"/>
      <c r="AZ33" s="110"/>
      <c r="BA33" s="110"/>
      <c r="BB33" s="110"/>
      <c r="BC33" s="110"/>
      <c r="BD33" s="110"/>
      <c r="BE33" s="110"/>
      <c r="BF33" s="110">
        <f t="shared" si="17"/>
        <v>0</v>
      </c>
      <c r="BH33" s="110"/>
      <c r="BI33" s="110"/>
      <c r="BJ33" s="110"/>
      <c r="BK33" s="110"/>
      <c r="BL33" s="110"/>
      <c r="BM33" s="110"/>
      <c r="BN33" s="110"/>
      <c r="BO33" s="110"/>
      <c r="BP33" s="110"/>
      <c r="BQ33" s="110"/>
      <c r="BR33" s="110"/>
      <c r="BS33" s="110"/>
      <c r="BT33" s="110">
        <f t="shared" si="18"/>
        <v>0</v>
      </c>
      <c r="BV33" s="110"/>
      <c r="BW33" s="110"/>
      <c r="BX33" s="110"/>
      <c r="BY33" s="110"/>
      <c r="BZ33" s="110"/>
      <c r="CA33" s="110"/>
      <c r="CB33" s="110"/>
      <c r="CC33" s="110"/>
      <c r="CD33" s="110"/>
      <c r="CE33" s="110"/>
      <c r="CF33" s="110"/>
      <c r="CG33" s="110"/>
      <c r="CH33" s="110">
        <f t="shared" si="19"/>
        <v>0</v>
      </c>
      <c r="CJ33" s="110"/>
      <c r="CK33" s="110"/>
      <c r="CL33" s="110"/>
      <c r="CM33" s="110"/>
      <c r="CN33" s="110"/>
      <c r="CO33" s="110"/>
      <c r="CP33" s="110"/>
      <c r="CQ33" s="110"/>
      <c r="CR33" s="110"/>
      <c r="CS33" s="110"/>
      <c r="CT33" s="110"/>
      <c r="CU33" s="110"/>
      <c r="CV33" s="110">
        <f t="shared" si="20"/>
        <v>0</v>
      </c>
      <c r="CX33" s="110"/>
      <c r="CY33" s="110"/>
      <c r="CZ33" s="110"/>
      <c r="DA33" s="110"/>
      <c r="DB33" s="110"/>
      <c r="DC33" s="110"/>
      <c r="DD33" s="110"/>
      <c r="DE33" s="110"/>
      <c r="DF33" s="110"/>
      <c r="DG33" s="110"/>
      <c r="DH33" s="110"/>
      <c r="DI33" s="110"/>
      <c r="DJ33" s="110">
        <f t="shared" si="21"/>
        <v>0</v>
      </c>
      <c r="DL33" s="110"/>
      <c r="DM33" s="110"/>
      <c r="DN33" s="110"/>
      <c r="DO33" s="110"/>
      <c r="DP33" s="110"/>
      <c r="DQ33" s="110"/>
      <c r="DR33" s="110"/>
      <c r="DS33" s="110"/>
      <c r="DT33" s="110"/>
      <c r="DU33" s="110"/>
      <c r="DV33" s="110"/>
      <c r="DW33" s="110"/>
      <c r="DX33" s="110">
        <f t="shared" si="22"/>
        <v>0</v>
      </c>
      <c r="DZ33" s="110"/>
      <c r="EA33" s="110"/>
      <c r="EB33" s="110"/>
      <c r="EC33" s="110"/>
      <c r="ED33" s="110"/>
      <c r="EE33" s="110"/>
      <c r="EF33" s="110"/>
      <c r="EG33" s="110"/>
      <c r="EH33" s="110"/>
      <c r="EI33" s="110"/>
      <c r="EJ33" s="110"/>
      <c r="EK33" s="110"/>
      <c r="EL33" s="110">
        <f t="shared" si="23"/>
        <v>0</v>
      </c>
      <c r="EN33" s="110"/>
      <c r="EO33" s="110"/>
      <c r="EP33" s="110"/>
      <c r="EQ33" s="110"/>
      <c r="ER33" s="110"/>
      <c r="ES33" s="110"/>
      <c r="ET33" s="110"/>
      <c r="EU33" s="110"/>
      <c r="EV33" s="110"/>
      <c r="EW33" s="110"/>
      <c r="EX33" s="110"/>
      <c r="EY33" s="110"/>
      <c r="EZ33" s="110">
        <f t="shared" si="24"/>
        <v>0</v>
      </c>
      <c r="FB33" s="110"/>
      <c r="FC33" s="110"/>
      <c r="FD33" s="110"/>
      <c r="FE33" s="110"/>
      <c r="FF33" s="110"/>
      <c r="FG33" s="110"/>
      <c r="FH33" s="110"/>
      <c r="FI33" s="110"/>
      <c r="FJ33" s="110"/>
      <c r="FK33" s="110"/>
      <c r="FL33" s="110"/>
      <c r="FM33" s="110"/>
      <c r="FN33" s="110">
        <f t="shared" si="25"/>
        <v>0</v>
      </c>
      <c r="FP33" s="110"/>
      <c r="FQ33" s="110"/>
      <c r="FR33" s="110"/>
      <c r="FS33" s="110"/>
      <c r="FT33" s="110"/>
      <c r="FU33" s="110"/>
      <c r="FV33" s="110"/>
      <c r="FW33" s="110"/>
      <c r="FX33" s="110"/>
      <c r="FY33" s="110"/>
      <c r="FZ33" s="110"/>
      <c r="GA33" s="110"/>
      <c r="GB33" s="110">
        <f t="shared" si="26"/>
        <v>0</v>
      </c>
    </row>
    <row r="34" spans="2:184" s="108" customFormat="1" x14ac:dyDescent="0.3">
      <c r="B34" s="109" t="s">
        <v>28</v>
      </c>
      <c r="D34" s="110">
        <v>2000</v>
      </c>
      <c r="E34" s="110">
        <v>2000</v>
      </c>
      <c r="F34" s="110">
        <v>2000</v>
      </c>
      <c r="G34" s="110">
        <v>2000</v>
      </c>
      <c r="H34" s="110">
        <v>2000</v>
      </c>
      <c r="I34" s="110">
        <v>2000</v>
      </c>
      <c r="J34" s="110">
        <v>2000</v>
      </c>
      <c r="K34" s="110">
        <v>2000</v>
      </c>
      <c r="L34" s="110">
        <v>2000</v>
      </c>
      <c r="M34" s="110">
        <v>2000</v>
      </c>
      <c r="N34" s="110">
        <v>2000</v>
      </c>
      <c r="O34" s="110">
        <v>2000</v>
      </c>
      <c r="P34" s="110">
        <f t="shared" si="14"/>
        <v>24000</v>
      </c>
      <c r="R34" s="110"/>
      <c r="S34" s="110"/>
      <c r="T34" s="110"/>
      <c r="U34" s="110"/>
      <c r="V34" s="110"/>
      <c r="W34" s="110"/>
      <c r="X34" s="110"/>
      <c r="Y34" s="110"/>
      <c r="Z34" s="110"/>
      <c r="AA34" s="110"/>
      <c r="AB34" s="110"/>
      <c r="AC34" s="110"/>
      <c r="AD34" s="110">
        <f t="shared" si="15"/>
        <v>0</v>
      </c>
      <c r="AF34" s="110"/>
      <c r="AG34" s="110"/>
      <c r="AH34" s="110"/>
      <c r="AI34" s="110"/>
      <c r="AJ34" s="110"/>
      <c r="AK34" s="110"/>
      <c r="AL34" s="110"/>
      <c r="AM34" s="110"/>
      <c r="AN34" s="110"/>
      <c r="AO34" s="110"/>
      <c r="AP34" s="110"/>
      <c r="AQ34" s="110"/>
      <c r="AR34" s="110">
        <f t="shared" si="16"/>
        <v>0</v>
      </c>
      <c r="AT34" s="110"/>
      <c r="AU34" s="110"/>
      <c r="AV34" s="110"/>
      <c r="AW34" s="110"/>
      <c r="AX34" s="110"/>
      <c r="AY34" s="110"/>
      <c r="AZ34" s="110"/>
      <c r="BA34" s="110"/>
      <c r="BB34" s="110"/>
      <c r="BC34" s="110"/>
      <c r="BD34" s="110"/>
      <c r="BE34" s="110"/>
      <c r="BF34" s="110">
        <f t="shared" si="17"/>
        <v>0</v>
      </c>
      <c r="BH34" s="110"/>
      <c r="BI34" s="110"/>
      <c r="BJ34" s="110"/>
      <c r="BK34" s="110"/>
      <c r="BL34" s="110"/>
      <c r="BM34" s="110"/>
      <c r="BN34" s="110"/>
      <c r="BO34" s="110"/>
      <c r="BP34" s="110"/>
      <c r="BQ34" s="110"/>
      <c r="BR34" s="110"/>
      <c r="BS34" s="110"/>
      <c r="BT34" s="110">
        <f t="shared" si="18"/>
        <v>0</v>
      </c>
      <c r="BV34" s="110"/>
      <c r="BW34" s="110"/>
      <c r="BX34" s="110"/>
      <c r="BY34" s="110"/>
      <c r="BZ34" s="110"/>
      <c r="CA34" s="110"/>
      <c r="CB34" s="110"/>
      <c r="CC34" s="110"/>
      <c r="CD34" s="110"/>
      <c r="CE34" s="110"/>
      <c r="CF34" s="110"/>
      <c r="CG34" s="110"/>
      <c r="CH34" s="110">
        <f t="shared" si="19"/>
        <v>0</v>
      </c>
      <c r="CJ34" s="110"/>
      <c r="CK34" s="110"/>
      <c r="CL34" s="110"/>
      <c r="CM34" s="110"/>
      <c r="CN34" s="110"/>
      <c r="CO34" s="110"/>
      <c r="CP34" s="110"/>
      <c r="CQ34" s="110"/>
      <c r="CR34" s="110"/>
      <c r="CS34" s="110"/>
      <c r="CT34" s="110"/>
      <c r="CU34" s="110"/>
      <c r="CV34" s="110">
        <f t="shared" si="20"/>
        <v>0</v>
      </c>
      <c r="CX34" s="110"/>
      <c r="CY34" s="110"/>
      <c r="CZ34" s="110"/>
      <c r="DA34" s="110"/>
      <c r="DB34" s="110"/>
      <c r="DC34" s="110"/>
      <c r="DD34" s="110"/>
      <c r="DE34" s="110"/>
      <c r="DF34" s="110"/>
      <c r="DG34" s="110"/>
      <c r="DH34" s="110"/>
      <c r="DI34" s="110"/>
      <c r="DJ34" s="110">
        <f t="shared" si="21"/>
        <v>0</v>
      </c>
      <c r="DL34" s="110"/>
      <c r="DM34" s="110"/>
      <c r="DN34" s="110"/>
      <c r="DO34" s="110"/>
      <c r="DP34" s="110"/>
      <c r="DQ34" s="110"/>
      <c r="DR34" s="110"/>
      <c r="DS34" s="110"/>
      <c r="DT34" s="110"/>
      <c r="DU34" s="110"/>
      <c r="DV34" s="110"/>
      <c r="DW34" s="110"/>
      <c r="DX34" s="110">
        <f t="shared" si="22"/>
        <v>0</v>
      </c>
      <c r="DZ34" s="110"/>
      <c r="EA34" s="110"/>
      <c r="EB34" s="110"/>
      <c r="EC34" s="110"/>
      <c r="ED34" s="110"/>
      <c r="EE34" s="110"/>
      <c r="EF34" s="110"/>
      <c r="EG34" s="110"/>
      <c r="EH34" s="110"/>
      <c r="EI34" s="110"/>
      <c r="EJ34" s="110"/>
      <c r="EK34" s="110"/>
      <c r="EL34" s="110">
        <f t="shared" si="23"/>
        <v>0</v>
      </c>
      <c r="EN34" s="110"/>
      <c r="EO34" s="110"/>
      <c r="EP34" s="110"/>
      <c r="EQ34" s="110"/>
      <c r="ER34" s="110"/>
      <c r="ES34" s="110"/>
      <c r="ET34" s="110"/>
      <c r="EU34" s="110"/>
      <c r="EV34" s="110"/>
      <c r="EW34" s="110"/>
      <c r="EX34" s="110"/>
      <c r="EY34" s="110"/>
      <c r="EZ34" s="110">
        <f t="shared" si="24"/>
        <v>0</v>
      </c>
      <c r="FB34" s="110"/>
      <c r="FC34" s="110"/>
      <c r="FD34" s="110"/>
      <c r="FE34" s="110"/>
      <c r="FF34" s="110"/>
      <c r="FG34" s="110"/>
      <c r="FH34" s="110"/>
      <c r="FI34" s="110"/>
      <c r="FJ34" s="110"/>
      <c r="FK34" s="110"/>
      <c r="FL34" s="110"/>
      <c r="FM34" s="110"/>
      <c r="FN34" s="110">
        <f t="shared" si="25"/>
        <v>0</v>
      </c>
      <c r="FP34" s="110"/>
      <c r="FQ34" s="110"/>
      <c r="FR34" s="110"/>
      <c r="FS34" s="110"/>
      <c r="FT34" s="110"/>
      <c r="FU34" s="110"/>
      <c r="FV34" s="110"/>
      <c r="FW34" s="110"/>
      <c r="FX34" s="110"/>
      <c r="FY34" s="110"/>
      <c r="FZ34" s="110"/>
      <c r="GA34" s="110"/>
      <c r="GB34" s="110">
        <f t="shared" si="26"/>
        <v>0</v>
      </c>
    </row>
    <row r="35" spans="2:184" s="108" customFormat="1" x14ac:dyDescent="0.3">
      <c r="B35" s="109" t="s">
        <v>29</v>
      </c>
      <c r="D35" s="110"/>
      <c r="E35" s="110">
        <v>40000</v>
      </c>
      <c r="F35" s="110">
        <v>20000</v>
      </c>
      <c r="G35" s="110">
        <v>20000</v>
      </c>
      <c r="H35" s="110"/>
      <c r="I35" s="110">
        <v>40000</v>
      </c>
      <c r="J35" s="110">
        <v>20000</v>
      </c>
      <c r="K35" s="110">
        <v>20000</v>
      </c>
      <c r="L35" s="110"/>
      <c r="M35" s="110">
        <v>40000</v>
      </c>
      <c r="N35" s="110">
        <v>20000</v>
      </c>
      <c r="O35" s="110">
        <v>20000</v>
      </c>
      <c r="P35" s="110">
        <f t="shared" si="14"/>
        <v>240000</v>
      </c>
      <c r="R35" s="110"/>
      <c r="S35" s="110"/>
      <c r="T35" s="110"/>
      <c r="U35" s="110"/>
      <c r="V35" s="110"/>
      <c r="W35" s="110"/>
      <c r="X35" s="110"/>
      <c r="Y35" s="110"/>
      <c r="Z35" s="110"/>
      <c r="AA35" s="110"/>
      <c r="AB35" s="110"/>
      <c r="AC35" s="110"/>
      <c r="AD35" s="110">
        <f t="shared" si="15"/>
        <v>0</v>
      </c>
      <c r="AF35" s="110"/>
      <c r="AG35" s="110"/>
      <c r="AH35" s="110"/>
      <c r="AI35" s="110"/>
      <c r="AJ35" s="110"/>
      <c r="AK35" s="110"/>
      <c r="AL35" s="110"/>
      <c r="AM35" s="110"/>
      <c r="AN35" s="110"/>
      <c r="AO35" s="110"/>
      <c r="AP35" s="110"/>
      <c r="AQ35" s="110"/>
      <c r="AR35" s="110">
        <f t="shared" si="16"/>
        <v>0</v>
      </c>
      <c r="AT35" s="110"/>
      <c r="AU35" s="110"/>
      <c r="AV35" s="110"/>
      <c r="AW35" s="110"/>
      <c r="AX35" s="110"/>
      <c r="AY35" s="110"/>
      <c r="AZ35" s="110"/>
      <c r="BA35" s="110"/>
      <c r="BB35" s="110"/>
      <c r="BC35" s="110"/>
      <c r="BD35" s="110"/>
      <c r="BE35" s="110"/>
      <c r="BF35" s="110">
        <f t="shared" si="17"/>
        <v>0</v>
      </c>
      <c r="BH35" s="110"/>
      <c r="BI35" s="110"/>
      <c r="BJ35" s="110"/>
      <c r="BK35" s="110"/>
      <c r="BL35" s="110"/>
      <c r="BM35" s="110"/>
      <c r="BN35" s="110"/>
      <c r="BO35" s="110"/>
      <c r="BP35" s="110"/>
      <c r="BQ35" s="110"/>
      <c r="BR35" s="110"/>
      <c r="BS35" s="110"/>
      <c r="BT35" s="110">
        <f t="shared" si="18"/>
        <v>0</v>
      </c>
      <c r="BV35" s="110"/>
      <c r="BW35" s="110"/>
      <c r="BX35" s="110"/>
      <c r="BY35" s="110"/>
      <c r="BZ35" s="110"/>
      <c r="CA35" s="110"/>
      <c r="CB35" s="110"/>
      <c r="CC35" s="110"/>
      <c r="CD35" s="110"/>
      <c r="CE35" s="110"/>
      <c r="CF35" s="110"/>
      <c r="CG35" s="110"/>
      <c r="CH35" s="110">
        <f t="shared" si="19"/>
        <v>0</v>
      </c>
      <c r="CJ35" s="110"/>
      <c r="CK35" s="110"/>
      <c r="CL35" s="110"/>
      <c r="CM35" s="110"/>
      <c r="CN35" s="110"/>
      <c r="CO35" s="110"/>
      <c r="CP35" s="110"/>
      <c r="CQ35" s="110"/>
      <c r="CR35" s="110"/>
      <c r="CS35" s="110"/>
      <c r="CT35" s="110"/>
      <c r="CU35" s="110"/>
      <c r="CV35" s="110">
        <f t="shared" si="20"/>
        <v>0</v>
      </c>
      <c r="CX35" s="110"/>
      <c r="CY35" s="110"/>
      <c r="CZ35" s="110"/>
      <c r="DA35" s="110"/>
      <c r="DB35" s="110"/>
      <c r="DC35" s="110"/>
      <c r="DD35" s="110"/>
      <c r="DE35" s="110"/>
      <c r="DF35" s="110"/>
      <c r="DG35" s="110"/>
      <c r="DH35" s="110"/>
      <c r="DI35" s="110"/>
      <c r="DJ35" s="110">
        <f t="shared" si="21"/>
        <v>0</v>
      </c>
      <c r="DL35" s="110"/>
      <c r="DM35" s="110"/>
      <c r="DN35" s="110"/>
      <c r="DO35" s="110"/>
      <c r="DP35" s="110"/>
      <c r="DQ35" s="110"/>
      <c r="DR35" s="110"/>
      <c r="DS35" s="110"/>
      <c r="DT35" s="110"/>
      <c r="DU35" s="110"/>
      <c r="DV35" s="110"/>
      <c r="DW35" s="110"/>
      <c r="DX35" s="110">
        <f t="shared" si="22"/>
        <v>0</v>
      </c>
      <c r="DZ35" s="110"/>
      <c r="EA35" s="110"/>
      <c r="EB35" s="110"/>
      <c r="EC35" s="110"/>
      <c r="ED35" s="110"/>
      <c r="EE35" s="110"/>
      <c r="EF35" s="110"/>
      <c r="EG35" s="110"/>
      <c r="EH35" s="110"/>
      <c r="EI35" s="110"/>
      <c r="EJ35" s="110"/>
      <c r="EK35" s="110"/>
      <c r="EL35" s="110">
        <f t="shared" si="23"/>
        <v>0</v>
      </c>
      <c r="EN35" s="110"/>
      <c r="EO35" s="110"/>
      <c r="EP35" s="110"/>
      <c r="EQ35" s="110"/>
      <c r="ER35" s="110"/>
      <c r="ES35" s="110"/>
      <c r="ET35" s="110"/>
      <c r="EU35" s="110"/>
      <c r="EV35" s="110"/>
      <c r="EW35" s="110"/>
      <c r="EX35" s="110"/>
      <c r="EY35" s="110"/>
      <c r="EZ35" s="110">
        <f t="shared" si="24"/>
        <v>0</v>
      </c>
      <c r="FB35" s="110"/>
      <c r="FC35" s="110"/>
      <c r="FD35" s="110"/>
      <c r="FE35" s="110"/>
      <c r="FF35" s="110"/>
      <c r="FG35" s="110"/>
      <c r="FH35" s="110"/>
      <c r="FI35" s="110"/>
      <c r="FJ35" s="110"/>
      <c r="FK35" s="110"/>
      <c r="FL35" s="110"/>
      <c r="FM35" s="110"/>
      <c r="FN35" s="110">
        <f t="shared" si="25"/>
        <v>0</v>
      </c>
      <c r="FP35" s="110"/>
      <c r="FQ35" s="110"/>
      <c r="FR35" s="110"/>
      <c r="FS35" s="110"/>
      <c r="FT35" s="110"/>
      <c r="FU35" s="110"/>
      <c r="FV35" s="110"/>
      <c r="FW35" s="110"/>
      <c r="FX35" s="110"/>
      <c r="FY35" s="110"/>
      <c r="FZ35" s="110"/>
      <c r="GA35" s="110"/>
      <c r="GB35" s="110">
        <f t="shared" si="26"/>
        <v>0</v>
      </c>
    </row>
    <row r="36" spans="2:184" s="108" customFormat="1" x14ac:dyDescent="0.3">
      <c r="B36" s="109" t="s">
        <v>30</v>
      </c>
      <c r="D36" s="110"/>
      <c r="E36" s="110"/>
      <c r="F36" s="110"/>
      <c r="G36" s="110"/>
      <c r="H36" s="110"/>
      <c r="I36" s="110"/>
      <c r="J36" s="110"/>
      <c r="K36" s="110"/>
      <c r="L36" s="110"/>
      <c r="M36" s="110"/>
      <c r="N36" s="110"/>
      <c r="O36" s="110"/>
      <c r="P36" s="110">
        <f t="shared" si="14"/>
        <v>0</v>
      </c>
      <c r="R36" s="110"/>
      <c r="S36" s="110"/>
      <c r="T36" s="110"/>
      <c r="U36" s="110"/>
      <c r="V36" s="110"/>
      <c r="W36" s="110"/>
      <c r="X36" s="110"/>
      <c r="Y36" s="110"/>
      <c r="Z36" s="110"/>
      <c r="AA36" s="110"/>
      <c r="AB36" s="110"/>
      <c r="AC36" s="110"/>
      <c r="AD36" s="110">
        <f t="shared" si="15"/>
        <v>0</v>
      </c>
      <c r="AF36" s="110">
        <f t="shared" ref="AF36:AQ36" ca="1" si="27">0.1*AF21</f>
        <v>0</v>
      </c>
      <c r="AG36" s="110">
        <f t="shared" ca="1" si="27"/>
        <v>0</v>
      </c>
      <c r="AH36" s="110">
        <f t="shared" ca="1" si="27"/>
        <v>0</v>
      </c>
      <c r="AI36" s="110">
        <f t="shared" ca="1" si="27"/>
        <v>0</v>
      </c>
      <c r="AJ36" s="110">
        <f t="shared" ca="1" si="27"/>
        <v>0</v>
      </c>
      <c r="AK36" s="110">
        <f t="shared" ca="1" si="27"/>
        <v>0</v>
      </c>
      <c r="AL36" s="110">
        <f t="shared" ca="1" si="27"/>
        <v>0</v>
      </c>
      <c r="AM36" s="110">
        <f t="shared" ca="1" si="27"/>
        <v>0</v>
      </c>
      <c r="AN36" s="110">
        <f t="shared" ca="1" si="27"/>
        <v>0</v>
      </c>
      <c r="AO36" s="110">
        <f t="shared" ca="1" si="27"/>
        <v>0</v>
      </c>
      <c r="AP36" s="110">
        <f t="shared" ca="1" si="27"/>
        <v>0</v>
      </c>
      <c r="AQ36" s="110">
        <f t="shared" ca="1" si="27"/>
        <v>0</v>
      </c>
      <c r="AR36" s="110">
        <f t="shared" ca="1" si="16"/>
        <v>0</v>
      </c>
      <c r="AT36" s="110"/>
      <c r="AU36" s="110"/>
      <c r="AV36" s="110"/>
      <c r="AW36" s="110"/>
      <c r="AX36" s="110"/>
      <c r="AY36" s="110"/>
      <c r="AZ36" s="110"/>
      <c r="BA36" s="110"/>
      <c r="BB36" s="110"/>
      <c r="BC36" s="110"/>
      <c r="BD36" s="110"/>
      <c r="BE36" s="110"/>
      <c r="BF36" s="110">
        <f t="shared" si="17"/>
        <v>0</v>
      </c>
      <c r="BH36" s="110"/>
      <c r="BI36" s="110"/>
      <c r="BJ36" s="110"/>
      <c r="BK36" s="110"/>
      <c r="BL36" s="110"/>
      <c r="BM36" s="110"/>
      <c r="BN36" s="110"/>
      <c r="BO36" s="110"/>
      <c r="BP36" s="110"/>
      <c r="BQ36" s="110"/>
      <c r="BR36" s="110"/>
      <c r="BS36" s="110"/>
      <c r="BT36" s="110">
        <f t="shared" si="18"/>
        <v>0</v>
      </c>
      <c r="BV36" s="110"/>
      <c r="BW36" s="110"/>
      <c r="BX36" s="110"/>
      <c r="BY36" s="110"/>
      <c r="BZ36" s="110"/>
      <c r="CA36" s="110"/>
      <c r="CB36" s="110"/>
      <c r="CC36" s="110"/>
      <c r="CD36" s="110"/>
      <c r="CE36" s="110"/>
      <c r="CF36" s="110"/>
      <c r="CG36" s="110"/>
      <c r="CH36" s="110">
        <f t="shared" si="19"/>
        <v>0</v>
      </c>
      <c r="CJ36" s="110"/>
      <c r="CK36" s="110"/>
      <c r="CL36" s="110"/>
      <c r="CM36" s="110"/>
      <c r="CN36" s="110"/>
      <c r="CO36" s="110"/>
      <c r="CP36" s="110"/>
      <c r="CQ36" s="110"/>
      <c r="CR36" s="110"/>
      <c r="CS36" s="110"/>
      <c r="CT36" s="110"/>
      <c r="CU36" s="110"/>
      <c r="CV36" s="110">
        <f t="shared" si="20"/>
        <v>0</v>
      </c>
      <c r="CX36" s="110"/>
      <c r="CY36" s="110"/>
      <c r="CZ36" s="110"/>
      <c r="DA36" s="110"/>
      <c r="DB36" s="110"/>
      <c r="DC36" s="110"/>
      <c r="DD36" s="110"/>
      <c r="DE36" s="110"/>
      <c r="DF36" s="110"/>
      <c r="DG36" s="110"/>
      <c r="DH36" s="110"/>
      <c r="DI36" s="110"/>
      <c r="DJ36" s="110">
        <f t="shared" si="21"/>
        <v>0</v>
      </c>
      <c r="DL36" s="110"/>
      <c r="DM36" s="110"/>
      <c r="DN36" s="110"/>
      <c r="DO36" s="110"/>
      <c r="DP36" s="110"/>
      <c r="DQ36" s="110"/>
      <c r="DR36" s="110"/>
      <c r="DS36" s="110"/>
      <c r="DT36" s="110"/>
      <c r="DU36" s="110"/>
      <c r="DV36" s="110"/>
      <c r="DW36" s="110"/>
      <c r="DX36" s="110">
        <f t="shared" si="22"/>
        <v>0</v>
      </c>
      <c r="DZ36" s="110"/>
      <c r="EA36" s="110"/>
      <c r="EB36" s="110"/>
      <c r="EC36" s="110"/>
      <c r="ED36" s="110"/>
      <c r="EE36" s="110"/>
      <c r="EF36" s="110"/>
      <c r="EG36" s="110"/>
      <c r="EH36" s="110"/>
      <c r="EI36" s="110"/>
      <c r="EJ36" s="110"/>
      <c r="EK36" s="110"/>
      <c r="EL36" s="110">
        <f t="shared" si="23"/>
        <v>0</v>
      </c>
      <c r="EN36" s="110"/>
      <c r="EO36" s="110"/>
      <c r="EP36" s="110"/>
      <c r="EQ36" s="110"/>
      <c r="ER36" s="110"/>
      <c r="ES36" s="110"/>
      <c r="ET36" s="110"/>
      <c r="EU36" s="110"/>
      <c r="EV36" s="110"/>
      <c r="EW36" s="110"/>
      <c r="EX36" s="110"/>
      <c r="EY36" s="110"/>
      <c r="EZ36" s="110">
        <f t="shared" si="24"/>
        <v>0</v>
      </c>
      <c r="FB36" s="110"/>
      <c r="FC36" s="110"/>
      <c r="FD36" s="110"/>
      <c r="FE36" s="110"/>
      <c r="FF36" s="110"/>
      <c r="FG36" s="110"/>
      <c r="FH36" s="110"/>
      <c r="FI36" s="110"/>
      <c r="FJ36" s="110"/>
      <c r="FK36" s="110"/>
      <c r="FL36" s="110"/>
      <c r="FM36" s="110"/>
      <c r="FN36" s="110">
        <f t="shared" si="25"/>
        <v>0</v>
      </c>
      <c r="FP36" s="110"/>
      <c r="FQ36" s="110"/>
      <c r="FR36" s="110"/>
      <c r="FS36" s="110"/>
      <c r="FT36" s="110"/>
      <c r="FU36" s="110"/>
      <c r="FV36" s="110"/>
      <c r="FW36" s="110"/>
      <c r="FX36" s="110"/>
      <c r="FY36" s="110"/>
      <c r="FZ36" s="110"/>
      <c r="GA36" s="110"/>
      <c r="GB36" s="110">
        <f t="shared" si="26"/>
        <v>0</v>
      </c>
    </row>
    <row r="37" spans="2:184" s="108" customFormat="1" hidden="1" x14ac:dyDescent="0.3">
      <c r="B37" s="117" t="s">
        <v>31</v>
      </c>
      <c r="D37" s="110"/>
      <c r="E37" s="110"/>
      <c r="F37" s="110"/>
      <c r="G37" s="110"/>
      <c r="H37" s="110"/>
      <c r="I37" s="110"/>
      <c r="J37" s="110"/>
      <c r="K37" s="110"/>
      <c r="L37" s="110"/>
      <c r="M37" s="110"/>
      <c r="N37" s="110"/>
      <c r="O37" s="110"/>
      <c r="P37" s="110"/>
      <c r="R37" s="110"/>
      <c r="S37" s="110"/>
      <c r="T37" s="110"/>
      <c r="U37" s="110"/>
      <c r="V37" s="110"/>
      <c r="W37" s="110"/>
      <c r="X37" s="110"/>
      <c r="Y37" s="110"/>
      <c r="Z37" s="110"/>
      <c r="AA37" s="110"/>
      <c r="AB37" s="110"/>
      <c r="AC37" s="110"/>
      <c r="AD37" s="110"/>
      <c r="AF37" s="110"/>
      <c r="AG37" s="110"/>
      <c r="AH37" s="110"/>
      <c r="AI37" s="110"/>
      <c r="AJ37" s="110"/>
      <c r="AK37" s="110"/>
      <c r="AL37" s="110"/>
      <c r="AM37" s="110"/>
      <c r="AN37" s="110"/>
      <c r="AO37" s="110"/>
      <c r="AP37" s="110"/>
      <c r="AQ37" s="110"/>
      <c r="AR37" s="110">
        <f t="shared" si="16"/>
        <v>0</v>
      </c>
      <c r="AT37" s="110"/>
      <c r="AU37" s="110"/>
      <c r="AV37" s="110"/>
      <c r="AW37" s="110"/>
      <c r="AX37" s="110"/>
      <c r="AY37" s="110"/>
      <c r="AZ37" s="110"/>
      <c r="BA37" s="110"/>
      <c r="BB37" s="110"/>
      <c r="BC37" s="110"/>
      <c r="BD37" s="110"/>
      <c r="BE37" s="110"/>
      <c r="BF37" s="110">
        <f t="shared" si="17"/>
        <v>0</v>
      </c>
      <c r="BH37" s="110"/>
      <c r="BI37" s="110"/>
      <c r="BJ37" s="110"/>
      <c r="BK37" s="110"/>
      <c r="BL37" s="110"/>
      <c r="BM37" s="110"/>
      <c r="BN37" s="110"/>
      <c r="BO37" s="110"/>
      <c r="BP37" s="110"/>
      <c r="BQ37" s="110"/>
      <c r="BR37" s="110"/>
      <c r="BS37" s="110"/>
      <c r="BT37" s="110">
        <f t="shared" si="18"/>
        <v>0</v>
      </c>
      <c r="BV37" s="110"/>
      <c r="BW37" s="110"/>
      <c r="BX37" s="110"/>
      <c r="BY37" s="110"/>
      <c r="BZ37" s="110"/>
      <c r="CA37" s="110"/>
      <c r="CB37" s="110"/>
      <c r="CC37" s="110"/>
      <c r="CD37" s="110"/>
      <c r="CE37" s="110"/>
      <c r="CF37" s="110"/>
      <c r="CG37" s="110"/>
      <c r="CH37" s="110">
        <f t="shared" si="19"/>
        <v>0</v>
      </c>
      <c r="CJ37" s="110"/>
      <c r="CK37" s="110"/>
      <c r="CL37" s="110"/>
      <c r="CM37" s="110"/>
      <c r="CN37" s="110"/>
      <c r="CO37" s="110"/>
      <c r="CP37" s="110"/>
      <c r="CQ37" s="110"/>
      <c r="CR37" s="110"/>
      <c r="CS37" s="110"/>
      <c r="CT37" s="110"/>
      <c r="CU37" s="110"/>
      <c r="CV37" s="110">
        <f t="shared" si="20"/>
        <v>0</v>
      </c>
      <c r="CX37" s="110"/>
      <c r="CY37" s="110"/>
      <c r="CZ37" s="110"/>
      <c r="DA37" s="110"/>
      <c r="DB37" s="110"/>
      <c r="DC37" s="110"/>
      <c r="DD37" s="110"/>
      <c r="DE37" s="110"/>
      <c r="DF37" s="110"/>
      <c r="DG37" s="110"/>
      <c r="DH37" s="110"/>
      <c r="DI37" s="110"/>
      <c r="DJ37" s="110">
        <f t="shared" si="21"/>
        <v>0</v>
      </c>
      <c r="DL37" s="110"/>
      <c r="DM37" s="110"/>
      <c r="DN37" s="110"/>
      <c r="DO37" s="110"/>
      <c r="DP37" s="110"/>
      <c r="DQ37" s="110"/>
      <c r="DR37" s="110"/>
      <c r="DS37" s="110"/>
      <c r="DT37" s="110"/>
      <c r="DU37" s="110"/>
      <c r="DV37" s="110"/>
      <c r="DW37" s="110"/>
      <c r="DX37" s="110">
        <f t="shared" si="22"/>
        <v>0</v>
      </c>
      <c r="DZ37" s="110"/>
      <c r="EA37" s="110"/>
      <c r="EB37" s="110"/>
      <c r="EC37" s="110"/>
      <c r="ED37" s="110"/>
      <c r="EE37" s="110"/>
      <c r="EF37" s="110"/>
      <c r="EG37" s="110"/>
      <c r="EH37" s="110"/>
      <c r="EI37" s="110"/>
      <c r="EJ37" s="110"/>
      <c r="EK37" s="110"/>
      <c r="EL37" s="110">
        <f t="shared" si="23"/>
        <v>0</v>
      </c>
      <c r="EN37" s="110"/>
      <c r="EO37" s="110"/>
      <c r="EP37" s="110"/>
      <c r="EQ37" s="110"/>
      <c r="ER37" s="110"/>
      <c r="ES37" s="110"/>
      <c r="ET37" s="110"/>
      <c r="EU37" s="110"/>
      <c r="EV37" s="110"/>
      <c r="EW37" s="110"/>
      <c r="EX37" s="110"/>
      <c r="EY37" s="110"/>
      <c r="EZ37" s="110">
        <f t="shared" si="24"/>
        <v>0</v>
      </c>
      <c r="FB37" s="110"/>
      <c r="FC37" s="110"/>
      <c r="FD37" s="110"/>
      <c r="FE37" s="110"/>
      <c r="FF37" s="110"/>
      <c r="FG37" s="110"/>
      <c r="FH37" s="110"/>
      <c r="FI37" s="110"/>
      <c r="FJ37" s="110"/>
      <c r="FK37" s="110"/>
      <c r="FL37" s="110"/>
      <c r="FM37" s="110"/>
      <c r="FN37" s="110">
        <f t="shared" si="25"/>
        <v>0</v>
      </c>
      <c r="FP37" s="110"/>
      <c r="FQ37" s="110"/>
      <c r="FR37" s="110"/>
      <c r="FS37" s="110"/>
      <c r="FT37" s="110"/>
      <c r="FU37" s="110"/>
      <c r="FV37" s="110"/>
      <c r="FW37" s="110"/>
      <c r="FX37" s="110"/>
      <c r="FY37" s="110"/>
      <c r="FZ37" s="110"/>
      <c r="GA37" s="110"/>
      <c r="GB37" s="110">
        <f t="shared" si="26"/>
        <v>0</v>
      </c>
    </row>
    <row r="38" spans="2:184" s="108" customFormat="1" hidden="1" x14ac:dyDescent="0.3">
      <c r="B38" s="117" t="s">
        <v>31</v>
      </c>
      <c r="D38" s="110"/>
      <c r="E38" s="110"/>
      <c r="F38" s="110"/>
      <c r="G38" s="110"/>
      <c r="H38" s="110"/>
      <c r="I38" s="110"/>
      <c r="J38" s="110"/>
      <c r="K38" s="110"/>
      <c r="L38" s="110"/>
      <c r="M38" s="110"/>
      <c r="N38" s="110"/>
      <c r="O38" s="110"/>
      <c r="P38" s="110"/>
      <c r="R38" s="110"/>
      <c r="S38" s="110"/>
      <c r="T38" s="110"/>
      <c r="U38" s="110"/>
      <c r="V38" s="110"/>
      <c r="W38" s="110"/>
      <c r="X38" s="110"/>
      <c r="Y38" s="110"/>
      <c r="Z38" s="110"/>
      <c r="AA38" s="110"/>
      <c r="AB38" s="110"/>
      <c r="AC38" s="110"/>
      <c r="AD38" s="110"/>
      <c r="AF38" s="110"/>
      <c r="AG38" s="110"/>
      <c r="AH38" s="110"/>
      <c r="AI38" s="110"/>
      <c r="AJ38" s="110"/>
      <c r="AK38" s="110"/>
      <c r="AL38" s="110"/>
      <c r="AM38" s="110"/>
      <c r="AN38" s="110"/>
      <c r="AO38" s="110"/>
      <c r="AP38" s="110"/>
      <c r="AQ38" s="110"/>
      <c r="AR38" s="110">
        <f t="shared" si="16"/>
        <v>0</v>
      </c>
      <c r="AT38" s="110"/>
      <c r="AU38" s="110"/>
      <c r="AV38" s="110"/>
      <c r="AW38" s="110"/>
      <c r="AX38" s="110"/>
      <c r="AY38" s="110"/>
      <c r="AZ38" s="110"/>
      <c r="BA38" s="110"/>
      <c r="BB38" s="110"/>
      <c r="BC38" s="110"/>
      <c r="BD38" s="110"/>
      <c r="BE38" s="110"/>
      <c r="BF38" s="110">
        <f t="shared" si="17"/>
        <v>0</v>
      </c>
      <c r="BH38" s="110"/>
      <c r="BI38" s="110"/>
      <c r="BJ38" s="110"/>
      <c r="BK38" s="110"/>
      <c r="BL38" s="110"/>
      <c r="BM38" s="110"/>
      <c r="BN38" s="110"/>
      <c r="BO38" s="110"/>
      <c r="BP38" s="110"/>
      <c r="BQ38" s="110"/>
      <c r="BR38" s="110"/>
      <c r="BS38" s="110"/>
      <c r="BT38" s="110">
        <f t="shared" si="18"/>
        <v>0</v>
      </c>
      <c r="BV38" s="110"/>
      <c r="BW38" s="110"/>
      <c r="BX38" s="110"/>
      <c r="BY38" s="110"/>
      <c r="BZ38" s="110"/>
      <c r="CA38" s="110"/>
      <c r="CB38" s="110"/>
      <c r="CC38" s="110"/>
      <c r="CD38" s="110"/>
      <c r="CE38" s="110"/>
      <c r="CF38" s="110"/>
      <c r="CG38" s="110"/>
      <c r="CH38" s="110">
        <f t="shared" si="19"/>
        <v>0</v>
      </c>
      <c r="CJ38" s="110"/>
      <c r="CK38" s="110"/>
      <c r="CL38" s="110"/>
      <c r="CM38" s="110"/>
      <c r="CN38" s="110"/>
      <c r="CO38" s="110"/>
      <c r="CP38" s="110"/>
      <c r="CQ38" s="110"/>
      <c r="CR38" s="110"/>
      <c r="CS38" s="110"/>
      <c r="CT38" s="110"/>
      <c r="CU38" s="110"/>
      <c r="CV38" s="110">
        <f t="shared" si="20"/>
        <v>0</v>
      </c>
      <c r="CX38" s="110"/>
      <c r="CY38" s="110"/>
      <c r="CZ38" s="110"/>
      <c r="DA38" s="110"/>
      <c r="DB38" s="110"/>
      <c r="DC38" s="110"/>
      <c r="DD38" s="110"/>
      <c r="DE38" s="110"/>
      <c r="DF38" s="110"/>
      <c r="DG38" s="110"/>
      <c r="DH38" s="110"/>
      <c r="DI38" s="110"/>
      <c r="DJ38" s="110">
        <f t="shared" si="21"/>
        <v>0</v>
      </c>
      <c r="DL38" s="110"/>
      <c r="DM38" s="110"/>
      <c r="DN38" s="110"/>
      <c r="DO38" s="110"/>
      <c r="DP38" s="110"/>
      <c r="DQ38" s="110"/>
      <c r="DR38" s="110"/>
      <c r="DS38" s="110"/>
      <c r="DT38" s="110"/>
      <c r="DU38" s="110"/>
      <c r="DV38" s="110"/>
      <c r="DW38" s="110"/>
      <c r="DX38" s="110">
        <f t="shared" si="22"/>
        <v>0</v>
      </c>
      <c r="DZ38" s="110"/>
      <c r="EA38" s="110"/>
      <c r="EB38" s="110"/>
      <c r="EC38" s="110"/>
      <c r="ED38" s="110"/>
      <c r="EE38" s="110"/>
      <c r="EF38" s="110"/>
      <c r="EG38" s="110"/>
      <c r="EH38" s="110"/>
      <c r="EI38" s="110"/>
      <c r="EJ38" s="110"/>
      <c r="EK38" s="110"/>
      <c r="EL38" s="110">
        <f t="shared" si="23"/>
        <v>0</v>
      </c>
      <c r="EN38" s="110"/>
      <c r="EO38" s="110"/>
      <c r="EP38" s="110"/>
      <c r="EQ38" s="110"/>
      <c r="ER38" s="110"/>
      <c r="ES38" s="110"/>
      <c r="ET38" s="110"/>
      <c r="EU38" s="110"/>
      <c r="EV38" s="110"/>
      <c r="EW38" s="110"/>
      <c r="EX38" s="110"/>
      <c r="EY38" s="110"/>
      <c r="EZ38" s="110">
        <f t="shared" si="24"/>
        <v>0</v>
      </c>
      <c r="FB38" s="110"/>
      <c r="FC38" s="110"/>
      <c r="FD38" s="110"/>
      <c r="FE38" s="110"/>
      <c r="FF38" s="110"/>
      <c r="FG38" s="110"/>
      <c r="FH38" s="110"/>
      <c r="FI38" s="110"/>
      <c r="FJ38" s="110"/>
      <c r="FK38" s="110"/>
      <c r="FL38" s="110"/>
      <c r="FM38" s="110"/>
      <c r="FN38" s="110">
        <f t="shared" si="25"/>
        <v>0</v>
      </c>
      <c r="FP38" s="110"/>
      <c r="FQ38" s="110"/>
      <c r="FR38" s="110"/>
      <c r="FS38" s="110"/>
      <c r="FT38" s="110"/>
      <c r="FU38" s="110"/>
      <c r="FV38" s="110"/>
      <c r="FW38" s="110"/>
      <c r="FX38" s="110"/>
      <c r="FY38" s="110"/>
      <c r="FZ38" s="110"/>
      <c r="GA38" s="110"/>
      <c r="GB38" s="110">
        <f t="shared" si="26"/>
        <v>0</v>
      </c>
    </row>
    <row r="39" spans="2:184" s="108" customFormat="1" hidden="1" x14ac:dyDescent="0.3">
      <c r="B39" s="117" t="s">
        <v>31</v>
      </c>
      <c r="D39" s="110"/>
      <c r="E39" s="110"/>
      <c r="F39" s="110"/>
      <c r="G39" s="110"/>
      <c r="H39" s="110"/>
      <c r="I39" s="110"/>
      <c r="J39" s="110"/>
      <c r="K39" s="110"/>
      <c r="L39" s="110"/>
      <c r="M39" s="110"/>
      <c r="N39" s="110"/>
      <c r="O39" s="110"/>
      <c r="P39" s="110"/>
      <c r="R39" s="110"/>
      <c r="S39" s="110"/>
      <c r="T39" s="110"/>
      <c r="U39" s="110"/>
      <c r="V39" s="110"/>
      <c r="W39" s="110"/>
      <c r="X39" s="110"/>
      <c r="Y39" s="110"/>
      <c r="Z39" s="110"/>
      <c r="AA39" s="110"/>
      <c r="AB39" s="110"/>
      <c r="AC39" s="110"/>
      <c r="AD39" s="110"/>
      <c r="AF39" s="110"/>
      <c r="AG39" s="110"/>
      <c r="AH39" s="110"/>
      <c r="AI39" s="110"/>
      <c r="AJ39" s="110"/>
      <c r="AK39" s="110"/>
      <c r="AL39" s="110"/>
      <c r="AM39" s="110"/>
      <c r="AN39" s="110"/>
      <c r="AO39" s="110"/>
      <c r="AP39" s="110"/>
      <c r="AQ39" s="110"/>
      <c r="AR39" s="110">
        <f t="shared" si="16"/>
        <v>0</v>
      </c>
      <c r="AT39" s="110"/>
      <c r="AU39" s="110"/>
      <c r="AV39" s="110"/>
      <c r="AW39" s="110"/>
      <c r="AX39" s="110"/>
      <c r="AY39" s="110"/>
      <c r="AZ39" s="110"/>
      <c r="BA39" s="110"/>
      <c r="BB39" s="110"/>
      <c r="BC39" s="110"/>
      <c r="BD39" s="110"/>
      <c r="BE39" s="110"/>
      <c r="BF39" s="110">
        <f t="shared" si="17"/>
        <v>0</v>
      </c>
      <c r="BH39" s="110"/>
      <c r="BI39" s="110"/>
      <c r="BJ39" s="110"/>
      <c r="BK39" s="110"/>
      <c r="BL39" s="110"/>
      <c r="BM39" s="110"/>
      <c r="BN39" s="110"/>
      <c r="BO39" s="110"/>
      <c r="BP39" s="110"/>
      <c r="BQ39" s="110"/>
      <c r="BR39" s="110"/>
      <c r="BS39" s="110"/>
      <c r="BT39" s="110">
        <f t="shared" si="18"/>
        <v>0</v>
      </c>
      <c r="BV39" s="110"/>
      <c r="BW39" s="110"/>
      <c r="BX39" s="110"/>
      <c r="BY39" s="110"/>
      <c r="BZ39" s="110"/>
      <c r="CA39" s="110"/>
      <c r="CB39" s="110"/>
      <c r="CC39" s="110"/>
      <c r="CD39" s="110"/>
      <c r="CE39" s="110"/>
      <c r="CF39" s="110"/>
      <c r="CG39" s="110"/>
      <c r="CH39" s="110">
        <f t="shared" si="19"/>
        <v>0</v>
      </c>
      <c r="CJ39" s="110"/>
      <c r="CK39" s="110"/>
      <c r="CL39" s="110"/>
      <c r="CM39" s="110"/>
      <c r="CN39" s="110"/>
      <c r="CO39" s="110"/>
      <c r="CP39" s="110"/>
      <c r="CQ39" s="110"/>
      <c r="CR39" s="110"/>
      <c r="CS39" s="110"/>
      <c r="CT39" s="110"/>
      <c r="CU39" s="110"/>
      <c r="CV39" s="110">
        <f t="shared" si="20"/>
        <v>0</v>
      </c>
      <c r="CX39" s="110"/>
      <c r="CY39" s="110"/>
      <c r="CZ39" s="110"/>
      <c r="DA39" s="110"/>
      <c r="DB39" s="110"/>
      <c r="DC39" s="110"/>
      <c r="DD39" s="110"/>
      <c r="DE39" s="110"/>
      <c r="DF39" s="110"/>
      <c r="DG39" s="110"/>
      <c r="DH39" s="110"/>
      <c r="DI39" s="110"/>
      <c r="DJ39" s="110">
        <f t="shared" si="21"/>
        <v>0</v>
      </c>
      <c r="DL39" s="110"/>
      <c r="DM39" s="110"/>
      <c r="DN39" s="110"/>
      <c r="DO39" s="110"/>
      <c r="DP39" s="110"/>
      <c r="DQ39" s="110"/>
      <c r="DR39" s="110"/>
      <c r="DS39" s="110"/>
      <c r="DT39" s="110"/>
      <c r="DU39" s="110"/>
      <c r="DV39" s="110"/>
      <c r="DW39" s="110"/>
      <c r="DX39" s="110">
        <f t="shared" si="22"/>
        <v>0</v>
      </c>
      <c r="DZ39" s="110"/>
      <c r="EA39" s="110"/>
      <c r="EB39" s="110"/>
      <c r="EC39" s="110"/>
      <c r="ED39" s="110"/>
      <c r="EE39" s="110"/>
      <c r="EF39" s="110"/>
      <c r="EG39" s="110"/>
      <c r="EH39" s="110"/>
      <c r="EI39" s="110"/>
      <c r="EJ39" s="110"/>
      <c r="EK39" s="110"/>
      <c r="EL39" s="110">
        <f t="shared" si="23"/>
        <v>0</v>
      </c>
      <c r="EN39" s="110"/>
      <c r="EO39" s="110"/>
      <c r="EP39" s="110"/>
      <c r="EQ39" s="110"/>
      <c r="ER39" s="110"/>
      <c r="ES39" s="110"/>
      <c r="ET39" s="110"/>
      <c r="EU39" s="110"/>
      <c r="EV39" s="110"/>
      <c r="EW39" s="110"/>
      <c r="EX39" s="110"/>
      <c r="EY39" s="110"/>
      <c r="EZ39" s="110">
        <f t="shared" si="24"/>
        <v>0</v>
      </c>
      <c r="FB39" s="110"/>
      <c r="FC39" s="110"/>
      <c r="FD39" s="110"/>
      <c r="FE39" s="110"/>
      <c r="FF39" s="110"/>
      <c r="FG39" s="110"/>
      <c r="FH39" s="110"/>
      <c r="FI39" s="110"/>
      <c r="FJ39" s="110"/>
      <c r="FK39" s="110"/>
      <c r="FL39" s="110"/>
      <c r="FM39" s="110"/>
      <c r="FN39" s="110">
        <f t="shared" si="25"/>
        <v>0</v>
      </c>
      <c r="FP39" s="110"/>
      <c r="FQ39" s="110"/>
      <c r="FR39" s="110"/>
      <c r="FS39" s="110"/>
      <c r="FT39" s="110"/>
      <c r="FU39" s="110"/>
      <c r="FV39" s="110"/>
      <c r="FW39" s="110"/>
      <c r="FX39" s="110"/>
      <c r="FY39" s="110"/>
      <c r="FZ39" s="110"/>
      <c r="GA39" s="110"/>
      <c r="GB39" s="110">
        <f t="shared" si="26"/>
        <v>0</v>
      </c>
    </row>
    <row r="40" spans="2:184" s="108" customFormat="1" hidden="1" x14ac:dyDescent="0.3">
      <c r="B40" s="117" t="s">
        <v>31</v>
      </c>
      <c r="D40" s="110"/>
      <c r="E40" s="110"/>
      <c r="F40" s="110"/>
      <c r="G40" s="110"/>
      <c r="H40" s="110"/>
      <c r="I40" s="110"/>
      <c r="J40" s="110"/>
      <c r="K40" s="110"/>
      <c r="L40" s="110"/>
      <c r="M40" s="110"/>
      <c r="N40" s="110"/>
      <c r="O40" s="110"/>
      <c r="P40" s="110">
        <f t="shared" ref="P40" si="28">SUM(D40:O40)</f>
        <v>0</v>
      </c>
      <c r="R40" s="110"/>
      <c r="S40" s="110"/>
      <c r="T40" s="110"/>
      <c r="U40" s="110"/>
      <c r="V40" s="110"/>
      <c r="W40" s="110"/>
      <c r="X40" s="110"/>
      <c r="Y40" s="110"/>
      <c r="Z40" s="110"/>
      <c r="AA40" s="110"/>
      <c r="AB40" s="110"/>
      <c r="AC40" s="110"/>
      <c r="AD40" s="110">
        <f t="shared" ref="AD40" si="29">SUM(R40:AC40)</f>
        <v>0</v>
      </c>
      <c r="AF40" s="110"/>
      <c r="AG40" s="110"/>
      <c r="AH40" s="110"/>
      <c r="AI40" s="110"/>
      <c r="AJ40" s="110"/>
      <c r="AK40" s="110"/>
      <c r="AL40" s="110"/>
      <c r="AM40" s="110"/>
      <c r="AN40" s="110"/>
      <c r="AO40" s="110"/>
      <c r="AP40" s="110"/>
      <c r="AQ40" s="110"/>
      <c r="AR40" s="110">
        <f t="shared" si="16"/>
        <v>0</v>
      </c>
      <c r="AT40" s="110"/>
      <c r="AU40" s="110"/>
      <c r="AV40" s="110"/>
      <c r="AW40" s="110"/>
      <c r="AX40" s="110"/>
      <c r="AY40" s="110"/>
      <c r="AZ40" s="110"/>
      <c r="BA40" s="110"/>
      <c r="BB40" s="110"/>
      <c r="BC40" s="110"/>
      <c r="BD40" s="110"/>
      <c r="BE40" s="110"/>
      <c r="BF40" s="110">
        <f t="shared" si="17"/>
        <v>0</v>
      </c>
      <c r="BH40" s="110"/>
      <c r="BI40" s="110"/>
      <c r="BJ40" s="110"/>
      <c r="BK40" s="110"/>
      <c r="BL40" s="110"/>
      <c r="BM40" s="110"/>
      <c r="BN40" s="110"/>
      <c r="BO40" s="110"/>
      <c r="BP40" s="110"/>
      <c r="BQ40" s="110"/>
      <c r="BR40" s="110"/>
      <c r="BS40" s="110"/>
      <c r="BT40" s="110">
        <f t="shared" si="18"/>
        <v>0</v>
      </c>
      <c r="BV40" s="110"/>
      <c r="BW40" s="110"/>
      <c r="BX40" s="110"/>
      <c r="BY40" s="110"/>
      <c r="BZ40" s="110"/>
      <c r="CA40" s="110"/>
      <c r="CB40" s="110"/>
      <c r="CC40" s="110"/>
      <c r="CD40" s="110"/>
      <c r="CE40" s="110"/>
      <c r="CF40" s="110"/>
      <c r="CG40" s="110"/>
      <c r="CH40" s="110">
        <f t="shared" si="19"/>
        <v>0</v>
      </c>
      <c r="CJ40" s="110"/>
      <c r="CK40" s="110"/>
      <c r="CL40" s="110"/>
      <c r="CM40" s="110"/>
      <c r="CN40" s="110"/>
      <c r="CO40" s="110"/>
      <c r="CP40" s="110"/>
      <c r="CQ40" s="110"/>
      <c r="CR40" s="110"/>
      <c r="CS40" s="110"/>
      <c r="CT40" s="110"/>
      <c r="CU40" s="110"/>
      <c r="CV40" s="110">
        <f t="shared" si="20"/>
        <v>0</v>
      </c>
      <c r="CX40" s="110"/>
      <c r="CY40" s="110"/>
      <c r="CZ40" s="110"/>
      <c r="DA40" s="110"/>
      <c r="DB40" s="110"/>
      <c r="DC40" s="110"/>
      <c r="DD40" s="110"/>
      <c r="DE40" s="110"/>
      <c r="DF40" s="110"/>
      <c r="DG40" s="110"/>
      <c r="DH40" s="110"/>
      <c r="DI40" s="110"/>
      <c r="DJ40" s="110">
        <f t="shared" si="21"/>
        <v>0</v>
      </c>
      <c r="DL40" s="110"/>
      <c r="DM40" s="110"/>
      <c r="DN40" s="110"/>
      <c r="DO40" s="110"/>
      <c r="DP40" s="110"/>
      <c r="DQ40" s="110"/>
      <c r="DR40" s="110"/>
      <c r="DS40" s="110"/>
      <c r="DT40" s="110"/>
      <c r="DU40" s="110"/>
      <c r="DV40" s="110"/>
      <c r="DW40" s="110"/>
      <c r="DX40" s="110">
        <f t="shared" si="22"/>
        <v>0</v>
      </c>
      <c r="DZ40" s="110"/>
      <c r="EA40" s="110"/>
      <c r="EB40" s="110"/>
      <c r="EC40" s="110"/>
      <c r="ED40" s="110"/>
      <c r="EE40" s="110"/>
      <c r="EF40" s="110"/>
      <c r="EG40" s="110"/>
      <c r="EH40" s="110"/>
      <c r="EI40" s="110"/>
      <c r="EJ40" s="110"/>
      <c r="EK40" s="110"/>
      <c r="EL40" s="110">
        <f t="shared" si="23"/>
        <v>0</v>
      </c>
      <c r="EN40" s="110"/>
      <c r="EO40" s="110"/>
      <c r="EP40" s="110"/>
      <c r="EQ40" s="110"/>
      <c r="ER40" s="110"/>
      <c r="ES40" s="110"/>
      <c r="ET40" s="110"/>
      <c r="EU40" s="110"/>
      <c r="EV40" s="110"/>
      <c r="EW40" s="110"/>
      <c r="EX40" s="110"/>
      <c r="EY40" s="110"/>
      <c r="EZ40" s="110">
        <f t="shared" si="24"/>
        <v>0</v>
      </c>
      <c r="FB40" s="110"/>
      <c r="FC40" s="110"/>
      <c r="FD40" s="110"/>
      <c r="FE40" s="110"/>
      <c r="FF40" s="110"/>
      <c r="FG40" s="110"/>
      <c r="FH40" s="110"/>
      <c r="FI40" s="110"/>
      <c r="FJ40" s="110"/>
      <c r="FK40" s="110"/>
      <c r="FL40" s="110"/>
      <c r="FM40" s="110"/>
      <c r="FN40" s="110">
        <f t="shared" si="25"/>
        <v>0</v>
      </c>
      <c r="FP40" s="110"/>
      <c r="FQ40" s="110"/>
      <c r="FR40" s="110"/>
      <c r="FS40" s="110"/>
      <c r="FT40" s="110"/>
      <c r="FU40" s="110"/>
      <c r="FV40" s="110"/>
      <c r="FW40" s="110"/>
      <c r="FX40" s="110"/>
      <c r="FY40" s="110"/>
      <c r="FZ40" s="110"/>
      <c r="GA40" s="110"/>
      <c r="GB40" s="110">
        <f t="shared" si="26"/>
        <v>0</v>
      </c>
    </row>
    <row r="41" spans="2:184" s="108" customFormat="1" x14ac:dyDescent="0.3">
      <c r="B41" s="118" t="s">
        <v>16</v>
      </c>
      <c r="C41" s="114"/>
      <c r="D41" s="119" cm="1">
        <f t="array" aca="1" ref="D41" ca="1">SUM(INDIRECT(ADDRESS(expenditure_min_row,COLUMN())&amp;":"&amp;ADDRESS(expenditure_max_row,COLUMN())))</f>
        <v>162000</v>
      </c>
      <c r="E41" s="119" cm="1">
        <f t="array" aca="1" ref="E41" ca="1">SUM(INDIRECT(ADDRESS(expenditure_min_row,COLUMN())&amp;":"&amp;ADDRESS(expenditure_max_row,COLUMN())))</f>
        <v>132000</v>
      </c>
      <c r="F41" s="119" cm="1">
        <f t="array" aca="1" ref="F41" ca="1">SUM(INDIRECT(ADDRESS(expenditure_min_row,COLUMN())&amp;":"&amp;ADDRESS(expenditure_max_row,COLUMN())))</f>
        <v>132000</v>
      </c>
      <c r="G41" s="119" cm="1">
        <f t="array" aca="1" ref="G41" ca="1">SUM(INDIRECT(ADDRESS(expenditure_min_row,COLUMN())&amp;":"&amp;ADDRESS(expenditure_max_row,COLUMN())))</f>
        <v>112000</v>
      </c>
      <c r="H41" s="119" cm="1">
        <f t="array" aca="1" ref="H41" ca="1">SUM(INDIRECT(ADDRESS(expenditure_min_row,COLUMN())&amp;":"&amp;ADDRESS(expenditure_max_row,COLUMN())))</f>
        <v>162000</v>
      </c>
      <c r="I41" s="119" cm="1">
        <f t="array" aca="1" ref="I41" ca="1">SUM(INDIRECT(ADDRESS(expenditure_min_row,COLUMN())&amp;":"&amp;ADDRESS(expenditure_max_row,COLUMN())))</f>
        <v>132000</v>
      </c>
      <c r="J41" s="119" cm="1">
        <f t="array" aca="1" ref="J41" ca="1">SUM(INDIRECT(ADDRESS(expenditure_min_row,COLUMN())&amp;":"&amp;ADDRESS(expenditure_max_row,COLUMN())))</f>
        <v>132000</v>
      </c>
      <c r="K41" s="119" cm="1">
        <f t="array" aca="1" ref="K41" ca="1">SUM(INDIRECT(ADDRESS(expenditure_min_row,COLUMN())&amp;":"&amp;ADDRESS(expenditure_max_row,COLUMN())))</f>
        <v>112000</v>
      </c>
      <c r="L41" s="119" cm="1">
        <f t="array" aca="1" ref="L41" ca="1">SUM(INDIRECT(ADDRESS(expenditure_min_row,COLUMN())&amp;":"&amp;ADDRESS(expenditure_max_row,COLUMN())))</f>
        <v>162000</v>
      </c>
      <c r="M41" s="119" cm="1">
        <f t="array" aca="1" ref="M41" ca="1">SUM(INDIRECT(ADDRESS(expenditure_min_row,COLUMN())&amp;":"&amp;ADDRESS(expenditure_max_row,COLUMN())))</f>
        <v>132000</v>
      </c>
      <c r="N41" s="119" cm="1">
        <f t="array" aca="1" ref="N41" ca="1">SUM(INDIRECT(ADDRESS(expenditure_min_row,COLUMN())&amp;":"&amp;ADDRESS(expenditure_max_row,COLUMN())))</f>
        <v>132300</v>
      </c>
      <c r="O41" s="119" cm="1">
        <f t="array" aca="1" ref="O41" ca="1">SUM(INDIRECT(ADDRESS(expenditure_min_row,COLUMN())&amp;":"&amp;ADDRESS(expenditure_max_row,COLUMN())))</f>
        <v>112300</v>
      </c>
      <c r="P41" s="119" cm="1">
        <f t="array" aca="1" ref="P41" ca="1">SUM(INDIRECT(ADDRESS(expenditure_min_row,COLUMN())&amp;":"&amp;ADDRESS(expenditure_max_row,COLUMN())))</f>
        <v>1614600</v>
      </c>
      <c r="R41" s="119" cm="1">
        <f t="array" aca="1" ref="R41" ca="1">SUM(INDIRECT(ADDRESS(expenditure_min_row,COLUMN())&amp;":"&amp;ADDRESS(expenditure_max_row,COLUMN())))</f>
        <v>0</v>
      </c>
      <c r="S41" s="119" cm="1">
        <f t="array" aca="1" ref="S41" ca="1">SUM(INDIRECT(ADDRESS(expenditure_min_row,COLUMN())&amp;":"&amp;ADDRESS(expenditure_max_row,COLUMN())))</f>
        <v>0</v>
      </c>
      <c r="T41" s="119" cm="1">
        <f t="array" aca="1" ref="T41" ca="1">SUM(INDIRECT(ADDRESS(expenditure_min_row,COLUMN())&amp;":"&amp;ADDRESS(expenditure_max_row,COLUMN())))</f>
        <v>0</v>
      </c>
      <c r="U41" s="119" cm="1">
        <f t="array" aca="1" ref="U41" ca="1">SUM(INDIRECT(ADDRESS(expenditure_min_row,COLUMN())&amp;":"&amp;ADDRESS(expenditure_max_row,COLUMN())))</f>
        <v>0</v>
      </c>
      <c r="V41" s="119" cm="1">
        <f t="array" aca="1" ref="V41" ca="1">SUM(INDIRECT(ADDRESS(expenditure_min_row,COLUMN())&amp;":"&amp;ADDRESS(expenditure_max_row,COLUMN())))</f>
        <v>0</v>
      </c>
      <c r="W41" s="119" cm="1">
        <f t="array" aca="1" ref="W41" ca="1">SUM(INDIRECT(ADDRESS(expenditure_min_row,COLUMN())&amp;":"&amp;ADDRESS(expenditure_max_row,COLUMN())))</f>
        <v>0</v>
      </c>
      <c r="X41" s="119" cm="1">
        <f t="array" aca="1" ref="X41" ca="1">SUM(INDIRECT(ADDRESS(expenditure_min_row,COLUMN())&amp;":"&amp;ADDRESS(expenditure_max_row,COLUMN())))</f>
        <v>0</v>
      </c>
      <c r="Y41" s="119" cm="1">
        <f t="array" aca="1" ref="Y41" ca="1">SUM(INDIRECT(ADDRESS(expenditure_min_row,COLUMN())&amp;":"&amp;ADDRESS(expenditure_max_row,COLUMN())))</f>
        <v>0</v>
      </c>
      <c r="Z41" s="119" cm="1">
        <f t="array" aca="1" ref="Z41" ca="1">SUM(INDIRECT(ADDRESS(expenditure_min_row,COLUMN())&amp;":"&amp;ADDRESS(expenditure_max_row,COLUMN())))</f>
        <v>0</v>
      </c>
      <c r="AA41" s="119" cm="1">
        <f t="array" aca="1" ref="AA41" ca="1">SUM(INDIRECT(ADDRESS(expenditure_min_row,COLUMN())&amp;":"&amp;ADDRESS(expenditure_max_row,COLUMN())))</f>
        <v>0</v>
      </c>
      <c r="AB41" s="119" cm="1">
        <f t="array" aca="1" ref="AB41" ca="1">SUM(INDIRECT(ADDRESS(expenditure_min_row,COLUMN())&amp;":"&amp;ADDRESS(expenditure_max_row,COLUMN())))</f>
        <v>0</v>
      </c>
      <c r="AC41" s="119" cm="1">
        <f t="array" aca="1" ref="AC41" ca="1">SUM(INDIRECT(ADDRESS(expenditure_min_row,COLUMN())&amp;":"&amp;ADDRESS(expenditure_max_row,COLUMN())))</f>
        <v>0</v>
      </c>
      <c r="AD41" s="119" cm="1">
        <f t="array" aca="1" ref="AD41" ca="1">SUM(INDIRECT(ADDRESS(expenditure_min_row,COLUMN())&amp;":"&amp;ADDRESS(expenditure_max_row,COLUMN())))</f>
        <v>0</v>
      </c>
      <c r="AF41" s="119" cm="1">
        <f t="array" aca="1" ref="AF41" ca="1">SUM(INDIRECT(ADDRESS(expenditure_min_row,COLUMN())&amp;":"&amp;ADDRESS(expenditure_max_row,COLUMN())))</f>
        <v>0</v>
      </c>
      <c r="AG41" s="119" cm="1">
        <f t="array" aca="1" ref="AG41" ca="1">SUM(INDIRECT(ADDRESS(expenditure_min_row,COLUMN())&amp;":"&amp;ADDRESS(expenditure_max_row,COLUMN())))</f>
        <v>0</v>
      </c>
      <c r="AH41" s="119" cm="1">
        <f t="array" aca="1" ref="AH41" ca="1">SUM(INDIRECT(ADDRESS(expenditure_min_row,COLUMN())&amp;":"&amp;ADDRESS(expenditure_max_row,COLUMN())))</f>
        <v>0</v>
      </c>
      <c r="AI41" s="119" cm="1">
        <f t="array" aca="1" ref="AI41" ca="1">SUM(INDIRECT(ADDRESS(expenditure_min_row,COLUMN())&amp;":"&amp;ADDRESS(expenditure_max_row,COLUMN())))</f>
        <v>0</v>
      </c>
      <c r="AJ41" s="119" cm="1">
        <f t="array" aca="1" ref="AJ41" ca="1">SUM(INDIRECT(ADDRESS(expenditure_min_row,COLUMN())&amp;":"&amp;ADDRESS(expenditure_max_row,COLUMN())))</f>
        <v>0</v>
      </c>
      <c r="AK41" s="119" cm="1">
        <f t="array" aca="1" ref="AK41" ca="1">SUM(INDIRECT(ADDRESS(expenditure_min_row,COLUMN())&amp;":"&amp;ADDRESS(expenditure_max_row,COLUMN())))</f>
        <v>0</v>
      </c>
      <c r="AL41" s="119" cm="1">
        <f t="array" aca="1" ref="AL41" ca="1">SUM(INDIRECT(ADDRESS(expenditure_min_row,COLUMN())&amp;":"&amp;ADDRESS(expenditure_max_row,COLUMN())))</f>
        <v>0</v>
      </c>
      <c r="AM41" s="119" cm="1">
        <f t="array" aca="1" ref="AM41" ca="1">SUM(INDIRECT(ADDRESS(expenditure_min_row,COLUMN())&amp;":"&amp;ADDRESS(expenditure_max_row,COLUMN())))</f>
        <v>0</v>
      </c>
      <c r="AN41" s="119" cm="1">
        <f t="array" aca="1" ref="AN41" ca="1">SUM(INDIRECT(ADDRESS(expenditure_min_row,COLUMN())&amp;":"&amp;ADDRESS(expenditure_max_row,COLUMN())))</f>
        <v>0</v>
      </c>
      <c r="AO41" s="119" cm="1">
        <f t="array" aca="1" ref="AO41" ca="1">SUM(INDIRECT(ADDRESS(expenditure_min_row,COLUMN())&amp;":"&amp;ADDRESS(expenditure_max_row,COLUMN())))</f>
        <v>0</v>
      </c>
      <c r="AP41" s="119" cm="1">
        <f t="array" aca="1" ref="AP41" ca="1">SUM(INDIRECT(ADDRESS(expenditure_min_row,COLUMN())&amp;":"&amp;ADDRESS(expenditure_max_row,COLUMN())))</f>
        <v>0</v>
      </c>
      <c r="AQ41" s="119" cm="1">
        <f t="array" aca="1" ref="AQ41" ca="1">SUM(INDIRECT(ADDRESS(expenditure_min_row,COLUMN())&amp;":"&amp;ADDRESS(expenditure_max_row,COLUMN())))</f>
        <v>0</v>
      </c>
      <c r="AR41" s="119" cm="1">
        <f t="array" aca="1" ref="AR41" ca="1">SUM(INDIRECT(ADDRESS(expenditure_min_row,COLUMN())&amp;":"&amp;ADDRESS(expenditure_max_row,COLUMN())))</f>
        <v>0</v>
      </c>
      <c r="AT41" s="119" cm="1">
        <f t="array" aca="1" ref="AT41" ca="1">SUM(INDIRECT(ADDRESS(expenditure_min_row,COLUMN())&amp;":"&amp;ADDRESS(expenditure_max_row,COLUMN())))</f>
        <v>0</v>
      </c>
      <c r="AU41" s="119" cm="1">
        <f t="array" aca="1" ref="AU41" ca="1">SUM(INDIRECT(ADDRESS(expenditure_min_row,COLUMN())&amp;":"&amp;ADDRESS(expenditure_max_row,COLUMN())))</f>
        <v>0</v>
      </c>
      <c r="AV41" s="119" cm="1">
        <f t="array" aca="1" ref="AV41" ca="1">SUM(INDIRECT(ADDRESS(expenditure_min_row,COLUMN())&amp;":"&amp;ADDRESS(expenditure_max_row,COLUMN())))</f>
        <v>0</v>
      </c>
      <c r="AW41" s="119" cm="1">
        <f t="array" aca="1" ref="AW41" ca="1">SUM(INDIRECT(ADDRESS(expenditure_min_row,COLUMN())&amp;":"&amp;ADDRESS(expenditure_max_row,COLUMN())))</f>
        <v>0</v>
      </c>
      <c r="AX41" s="119" cm="1">
        <f t="array" aca="1" ref="AX41" ca="1">SUM(INDIRECT(ADDRESS(expenditure_min_row,COLUMN())&amp;":"&amp;ADDRESS(expenditure_max_row,COLUMN())))</f>
        <v>0</v>
      </c>
      <c r="AY41" s="119" cm="1">
        <f t="array" aca="1" ref="AY41" ca="1">SUM(INDIRECT(ADDRESS(expenditure_min_row,COLUMN())&amp;":"&amp;ADDRESS(expenditure_max_row,COLUMN())))</f>
        <v>0</v>
      </c>
      <c r="AZ41" s="119" cm="1">
        <f t="array" aca="1" ref="AZ41" ca="1">SUM(INDIRECT(ADDRESS(expenditure_min_row,COLUMN())&amp;":"&amp;ADDRESS(expenditure_max_row,COLUMN())))</f>
        <v>0</v>
      </c>
      <c r="BA41" s="119" cm="1">
        <f t="array" aca="1" ref="BA41" ca="1">SUM(INDIRECT(ADDRESS(expenditure_min_row,COLUMN())&amp;":"&amp;ADDRESS(expenditure_max_row,COLUMN())))</f>
        <v>0</v>
      </c>
      <c r="BB41" s="119" cm="1">
        <f t="array" aca="1" ref="BB41" ca="1">SUM(INDIRECT(ADDRESS(expenditure_min_row,COLUMN())&amp;":"&amp;ADDRESS(expenditure_max_row,COLUMN())))</f>
        <v>0</v>
      </c>
      <c r="BC41" s="119" cm="1">
        <f t="array" aca="1" ref="BC41" ca="1">SUM(INDIRECT(ADDRESS(expenditure_min_row,COLUMN())&amp;":"&amp;ADDRESS(expenditure_max_row,COLUMN())))</f>
        <v>0</v>
      </c>
      <c r="BD41" s="119" cm="1">
        <f t="array" aca="1" ref="BD41" ca="1">SUM(INDIRECT(ADDRESS(expenditure_min_row,COLUMN())&amp;":"&amp;ADDRESS(expenditure_max_row,COLUMN())))</f>
        <v>0</v>
      </c>
      <c r="BE41" s="119" cm="1">
        <f t="array" aca="1" ref="BE41" ca="1">SUM(INDIRECT(ADDRESS(expenditure_min_row,COLUMN())&amp;":"&amp;ADDRESS(expenditure_max_row,COLUMN())))</f>
        <v>0</v>
      </c>
      <c r="BF41" s="119" cm="1">
        <f t="array" aca="1" ref="BF41" ca="1">SUM(INDIRECT(ADDRESS(expenditure_min_row,COLUMN())&amp;":"&amp;ADDRESS(expenditure_max_row,COLUMN())))</f>
        <v>0</v>
      </c>
      <c r="BH41" s="119" cm="1">
        <f t="array" aca="1" ref="BH41" ca="1">SUM(INDIRECT(ADDRESS(expenditure_min_row,COLUMN())&amp;":"&amp;ADDRESS(expenditure_max_row,COLUMN())))</f>
        <v>0</v>
      </c>
      <c r="BI41" s="119" cm="1">
        <f t="array" aca="1" ref="BI41" ca="1">SUM(INDIRECT(ADDRESS(expenditure_min_row,COLUMN())&amp;":"&amp;ADDRESS(expenditure_max_row,COLUMN())))</f>
        <v>0</v>
      </c>
      <c r="BJ41" s="119" cm="1">
        <f t="array" aca="1" ref="BJ41" ca="1">SUM(INDIRECT(ADDRESS(expenditure_min_row,COLUMN())&amp;":"&amp;ADDRESS(expenditure_max_row,COLUMN())))</f>
        <v>0</v>
      </c>
      <c r="BK41" s="119" cm="1">
        <f t="array" aca="1" ref="BK41" ca="1">SUM(INDIRECT(ADDRESS(expenditure_min_row,COLUMN())&amp;":"&amp;ADDRESS(expenditure_max_row,COLUMN())))</f>
        <v>0</v>
      </c>
      <c r="BL41" s="119" cm="1">
        <f t="array" aca="1" ref="BL41" ca="1">SUM(INDIRECT(ADDRESS(expenditure_min_row,COLUMN())&amp;":"&amp;ADDRESS(expenditure_max_row,COLUMN())))</f>
        <v>0</v>
      </c>
      <c r="BM41" s="119" cm="1">
        <f t="array" aca="1" ref="BM41" ca="1">SUM(INDIRECT(ADDRESS(expenditure_min_row,COLUMN())&amp;":"&amp;ADDRESS(expenditure_max_row,COLUMN())))</f>
        <v>0</v>
      </c>
      <c r="BN41" s="119" cm="1">
        <f t="array" aca="1" ref="BN41" ca="1">SUM(INDIRECT(ADDRESS(expenditure_min_row,COLUMN())&amp;":"&amp;ADDRESS(expenditure_max_row,COLUMN())))</f>
        <v>0</v>
      </c>
      <c r="BO41" s="119" cm="1">
        <f t="array" aca="1" ref="BO41" ca="1">SUM(INDIRECT(ADDRESS(expenditure_min_row,COLUMN())&amp;":"&amp;ADDRESS(expenditure_max_row,COLUMN())))</f>
        <v>0</v>
      </c>
      <c r="BP41" s="119" cm="1">
        <f t="array" aca="1" ref="BP41" ca="1">SUM(INDIRECT(ADDRESS(expenditure_min_row,COLUMN())&amp;":"&amp;ADDRESS(expenditure_max_row,COLUMN())))</f>
        <v>0</v>
      </c>
      <c r="BQ41" s="119" cm="1">
        <f t="array" aca="1" ref="BQ41" ca="1">SUM(INDIRECT(ADDRESS(expenditure_min_row,COLUMN())&amp;":"&amp;ADDRESS(expenditure_max_row,COLUMN())))</f>
        <v>0</v>
      </c>
      <c r="BR41" s="119" cm="1">
        <f t="array" aca="1" ref="BR41" ca="1">SUM(INDIRECT(ADDRESS(expenditure_min_row,COLUMN())&amp;":"&amp;ADDRESS(expenditure_max_row,COLUMN())))</f>
        <v>0</v>
      </c>
      <c r="BS41" s="119" cm="1">
        <f t="array" aca="1" ref="BS41" ca="1">SUM(INDIRECT(ADDRESS(expenditure_min_row,COLUMN())&amp;":"&amp;ADDRESS(expenditure_max_row,COLUMN())))</f>
        <v>0</v>
      </c>
      <c r="BT41" s="119" cm="1">
        <f t="array" aca="1" ref="BT41" ca="1">SUM(INDIRECT(ADDRESS(expenditure_min_row,COLUMN())&amp;":"&amp;ADDRESS(expenditure_max_row,COLUMN())))</f>
        <v>0</v>
      </c>
      <c r="BV41" s="119" cm="1">
        <f t="array" aca="1" ref="BV41" ca="1">SUM(INDIRECT(ADDRESS(expenditure_min_row,COLUMN())&amp;":"&amp;ADDRESS(expenditure_max_row,COLUMN())))</f>
        <v>0</v>
      </c>
      <c r="BW41" s="119" cm="1">
        <f t="array" aca="1" ref="BW41" ca="1">SUM(INDIRECT(ADDRESS(expenditure_min_row,COLUMN())&amp;":"&amp;ADDRESS(expenditure_max_row,COLUMN())))</f>
        <v>0</v>
      </c>
      <c r="BX41" s="119" cm="1">
        <f t="array" aca="1" ref="BX41" ca="1">SUM(INDIRECT(ADDRESS(expenditure_min_row,COLUMN())&amp;":"&amp;ADDRESS(expenditure_max_row,COLUMN())))</f>
        <v>0</v>
      </c>
      <c r="BY41" s="119" cm="1">
        <f t="array" aca="1" ref="BY41" ca="1">SUM(INDIRECT(ADDRESS(expenditure_min_row,COLUMN())&amp;":"&amp;ADDRESS(expenditure_max_row,COLUMN())))</f>
        <v>0</v>
      </c>
      <c r="BZ41" s="119" cm="1">
        <f t="array" aca="1" ref="BZ41" ca="1">SUM(INDIRECT(ADDRESS(expenditure_min_row,COLUMN())&amp;":"&amp;ADDRESS(expenditure_max_row,COLUMN())))</f>
        <v>0</v>
      </c>
      <c r="CA41" s="119" cm="1">
        <f t="array" aca="1" ref="CA41" ca="1">SUM(INDIRECT(ADDRESS(expenditure_min_row,COLUMN())&amp;":"&amp;ADDRESS(expenditure_max_row,COLUMN())))</f>
        <v>0</v>
      </c>
      <c r="CB41" s="119" cm="1">
        <f t="array" aca="1" ref="CB41" ca="1">SUM(INDIRECT(ADDRESS(expenditure_min_row,COLUMN())&amp;":"&amp;ADDRESS(expenditure_max_row,COLUMN())))</f>
        <v>0</v>
      </c>
      <c r="CC41" s="119" cm="1">
        <f t="array" aca="1" ref="CC41" ca="1">SUM(INDIRECT(ADDRESS(expenditure_min_row,COLUMN())&amp;":"&amp;ADDRESS(expenditure_max_row,COLUMN())))</f>
        <v>0</v>
      </c>
      <c r="CD41" s="119" cm="1">
        <f t="array" aca="1" ref="CD41" ca="1">SUM(INDIRECT(ADDRESS(expenditure_min_row,COLUMN())&amp;":"&amp;ADDRESS(expenditure_max_row,COLUMN())))</f>
        <v>0</v>
      </c>
      <c r="CE41" s="119" cm="1">
        <f t="array" aca="1" ref="CE41" ca="1">SUM(INDIRECT(ADDRESS(expenditure_min_row,COLUMN())&amp;":"&amp;ADDRESS(expenditure_max_row,COLUMN())))</f>
        <v>0</v>
      </c>
      <c r="CF41" s="119" cm="1">
        <f t="array" aca="1" ref="CF41" ca="1">SUM(INDIRECT(ADDRESS(expenditure_min_row,COLUMN())&amp;":"&amp;ADDRESS(expenditure_max_row,COLUMN())))</f>
        <v>0</v>
      </c>
      <c r="CG41" s="119" cm="1">
        <f t="array" aca="1" ref="CG41" ca="1">SUM(INDIRECT(ADDRESS(expenditure_min_row,COLUMN())&amp;":"&amp;ADDRESS(expenditure_max_row,COLUMN())))</f>
        <v>0</v>
      </c>
      <c r="CH41" s="119" cm="1">
        <f t="array" aca="1" ref="CH41" ca="1">SUM(INDIRECT(ADDRESS(expenditure_min_row,COLUMN())&amp;":"&amp;ADDRESS(expenditure_max_row,COLUMN())))</f>
        <v>0</v>
      </c>
      <c r="CJ41" s="119" cm="1">
        <f t="array" aca="1" ref="CJ41" ca="1">SUM(INDIRECT(ADDRESS(expenditure_min_row,COLUMN())&amp;":"&amp;ADDRESS(expenditure_max_row,COLUMN())))</f>
        <v>0</v>
      </c>
      <c r="CK41" s="119" cm="1">
        <f t="array" aca="1" ref="CK41" ca="1">SUM(INDIRECT(ADDRESS(expenditure_min_row,COLUMN())&amp;":"&amp;ADDRESS(expenditure_max_row,COLUMN())))</f>
        <v>0</v>
      </c>
      <c r="CL41" s="119" cm="1">
        <f t="array" aca="1" ref="CL41" ca="1">SUM(INDIRECT(ADDRESS(expenditure_min_row,COLUMN())&amp;":"&amp;ADDRESS(expenditure_max_row,COLUMN())))</f>
        <v>0</v>
      </c>
      <c r="CM41" s="119" cm="1">
        <f t="array" aca="1" ref="CM41" ca="1">SUM(INDIRECT(ADDRESS(expenditure_min_row,COLUMN())&amp;":"&amp;ADDRESS(expenditure_max_row,COLUMN())))</f>
        <v>0</v>
      </c>
      <c r="CN41" s="119" cm="1">
        <f t="array" aca="1" ref="CN41" ca="1">SUM(INDIRECT(ADDRESS(expenditure_min_row,COLUMN())&amp;":"&amp;ADDRESS(expenditure_max_row,COLUMN())))</f>
        <v>0</v>
      </c>
      <c r="CO41" s="119" cm="1">
        <f t="array" aca="1" ref="CO41" ca="1">SUM(INDIRECT(ADDRESS(expenditure_min_row,COLUMN())&amp;":"&amp;ADDRESS(expenditure_max_row,COLUMN())))</f>
        <v>0</v>
      </c>
      <c r="CP41" s="119" cm="1">
        <f t="array" aca="1" ref="CP41" ca="1">SUM(INDIRECT(ADDRESS(expenditure_min_row,COLUMN())&amp;":"&amp;ADDRESS(expenditure_max_row,COLUMN())))</f>
        <v>0</v>
      </c>
      <c r="CQ41" s="119" cm="1">
        <f t="array" aca="1" ref="CQ41" ca="1">SUM(INDIRECT(ADDRESS(expenditure_min_row,COLUMN())&amp;":"&amp;ADDRESS(expenditure_max_row,COLUMN())))</f>
        <v>0</v>
      </c>
      <c r="CR41" s="119" cm="1">
        <f t="array" aca="1" ref="CR41" ca="1">SUM(INDIRECT(ADDRESS(expenditure_min_row,COLUMN())&amp;":"&amp;ADDRESS(expenditure_max_row,COLUMN())))</f>
        <v>0</v>
      </c>
      <c r="CS41" s="119" cm="1">
        <f t="array" aca="1" ref="CS41" ca="1">SUM(INDIRECT(ADDRESS(expenditure_min_row,COLUMN())&amp;":"&amp;ADDRESS(expenditure_max_row,COLUMN())))</f>
        <v>0</v>
      </c>
      <c r="CT41" s="119" cm="1">
        <f t="array" aca="1" ref="CT41" ca="1">SUM(INDIRECT(ADDRESS(expenditure_min_row,COLUMN())&amp;":"&amp;ADDRESS(expenditure_max_row,COLUMN())))</f>
        <v>0</v>
      </c>
      <c r="CU41" s="119" cm="1">
        <f t="array" aca="1" ref="CU41" ca="1">SUM(INDIRECT(ADDRESS(expenditure_min_row,COLUMN())&amp;":"&amp;ADDRESS(expenditure_max_row,COLUMN())))</f>
        <v>0</v>
      </c>
      <c r="CV41" s="119" cm="1">
        <f t="array" aca="1" ref="CV41" ca="1">SUM(INDIRECT(ADDRESS(expenditure_min_row,COLUMN())&amp;":"&amp;ADDRESS(expenditure_max_row,COLUMN())))</f>
        <v>0</v>
      </c>
      <c r="CX41" s="119" cm="1">
        <f t="array" aca="1" ref="CX41" ca="1">SUM(INDIRECT(ADDRESS(expenditure_min_row,COLUMN())&amp;":"&amp;ADDRESS(expenditure_max_row,COLUMN())))</f>
        <v>0</v>
      </c>
      <c r="CY41" s="119" cm="1">
        <f t="array" aca="1" ref="CY41" ca="1">SUM(INDIRECT(ADDRESS(expenditure_min_row,COLUMN())&amp;":"&amp;ADDRESS(expenditure_max_row,COLUMN())))</f>
        <v>0</v>
      </c>
      <c r="CZ41" s="119" cm="1">
        <f t="array" aca="1" ref="CZ41" ca="1">SUM(INDIRECT(ADDRESS(expenditure_min_row,COLUMN())&amp;":"&amp;ADDRESS(expenditure_max_row,COLUMN())))</f>
        <v>0</v>
      </c>
      <c r="DA41" s="119" cm="1">
        <f t="array" aca="1" ref="DA41" ca="1">SUM(INDIRECT(ADDRESS(expenditure_min_row,COLUMN())&amp;":"&amp;ADDRESS(expenditure_max_row,COLUMN())))</f>
        <v>0</v>
      </c>
      <c r="DB41" s="119" cm="1">
        <f t="array" aca="1" ref="DB41" ca="1">SUM(INDIRECT(ADDRESS(expenditure_min_row,COLUMN())&amp;":"&amp;ADDRESS(expenditure_max_row,COLUMN())))</f>
        <v>0</v>
      </c>
      <c r="DC41" s="119" cm="1">
        <f t="array" aca="1" ref="DC41" ca="1">SUM(INDIRECT(ADDRESS(expenditure_min_row,COLUMN())&amp;":"&amp;ADDRESS(expenditure_max_row,COLUMN())))</f>
        <v>0</v>
      </c>
      <c r="DD41" s="119" cm="1">
        <f t="array" aca="1" ref="DD41" ca="1">SUM(INDIRECT(ADDRESS(expenditure_min_row,COLUMN())&amp;":"&amp;ADDRESS(expenditure_max_row,COLUMN())))</f>
        <v>0</v>
      </c>
      <c r="DE41" s="119" cm="1">
        <f t="array" aca="1" ref="DE41" ca="1">SUM(INDIRECT(ADDRESS(expenditure_min_row,COLUMN())&amp;":"&amp;ADDRESS(expenditure_max_row,COLUMN())))</f>
        <v>0</v>
      </c>
      <c r="DF41" s="119" cm="1">
        <f t="array" aca="1" ref="DF41" ca="1">SUM(INDIRECT(ADDRESS(expenditure_min_row,COLUMN())&amp;":"&amp;ADDRESS(expenditure_max_row,COLUMN())))</f>
        <v>0</v>
      </c>
      <c r="DG41" s="119" cm="1">
        <f t="array" aca="1" ref="DG41" ca="1">SUM(INDIRECT(ADDRESS(expenditure_min_row,COLUMN())&amp;":"&amp;ADDRESS(expenditure_max_row,COLUMN())))</f>
        <v>0</v>
      </c>
      <c r="DH41" s="119" cm="1">
        <f t="array" aca="1" ref="DH41" ca="1">SUM(INDIRECT(ADDRESS(expenditure_min_row,COLUMN())&amp;":"&amp;ADDRESS(expenditure_max_row,COLUMN())))</f>
        <v>0</v>
      </c>
      <c r="DI41" s="119" cm="1">
        <f t="array" aca="1" ref="DI41" ca="1">SUM(INDIRECT(ADDRESS(expenditure_min_row,COLUMN())&amp;":"&amp;ADDRESS(expenditure_max_row,COLUMN())))</f>
        <v>0</v>
      </c>
      <c r="DJ41" s="119" cm="1">
        <f t="array" aca="1" ref="DJ41" ca="1">SUM(INDIRECT(ADDRESS(expenditure_min_row,COLUMN())&amp;":"&amp;ADDRESS(expenditure_max_row,COLUMN())))</f>
        <v>0</v>
      </c>
      <c r="DL41" s="119" cm="1">
        <f t="array" aca="1" ref="DL41" ca="1">SUM(INDIRECT(ADDRESS(expenditure_min_row,COLUMN())&amp;":"&amp;ADDRESS(expenditure_max_row,COLUMN())))</f>
        <v>0</v>
      </c>
      <c r="DM41" s="119" cm="1">
        <f t="array" aca="1" ref="DM41" ca="1">SUM(INDIRECT(ADDRESS(expenditure_min_row,COLUMN())&amp;":"&amp;ADDRESS(expenditure_max_row,COLUMN())))</f>
        <v>0</v>
      </c>
      <c r="DN41" s="119" cm="1">
        <f t="array" aca="1" ref="DN41" ca="1">SUM(INDIRECT(ADDRESS(expenditure_min_row,COLUMN())&amp;":"&amp;ADDRESS(expenditure_max_row,COLUMN())))</f>
        <v>0</v>
      </c>
      <c r="DO41" s="119" cm="1">
        <f t="array" aca="1" ref="DO41" ca="1">SUM(INDIRECT(ADDRESS(expenditure_min_row,COLUMN())&amp;":"&amp;ADDRESS(expenditure_max_row,COLUMN())))</f>
        <v>0</v>
      </c>
      <c r="DP41" s="119" cm="1">
        <f t="array" aca="1" ref="DP41" ca="1">SUM(INDIRECT(ADDRESS(expenditure_min_row,COLUMN())&amp;":"&amp;ADDRESS(expenditure_max_row,COLUMN())))</f>
        <v>0</v>
      </c>
      <c r="DQ41" s="119" cm="1">
        <f t="array" aca="1" ref="DQ41" ca="1">SUM(INDIRECT(ADDRESS(expenditure_min_row,COLUMN())&amp;":"&amp;ADDRESS(expenditure_max_row,COLUMN())))</f>
        <v>0</v>
      </c>
      <c r="DR41" s="119" cm="1">
        <f t="array" aca="1" ref="DR41" ca="1">SUM(INDIRECT(ADDRESS(expenditure_min_row,COLUMN())&amp;":"&amp;ADDRESS(expenditure_max_row,COLUMN())))</f>
        <v>0</v>
      </c>
      <c r="DS41" s="119" cm="1">
        <f t="array" aca="1" ref="DS41" ca="1">SUM(INDIRECT(ADDRESS(expenditure_min_row,COLUMN())&amp;":"&amp;ADDRESS(expenditure_max_row,COLUMN())))</f>
        <v>0</v>
      </c>
      <c r="DT41" s="119" cm="1">
        <f t="array" aca="1" ref="DT41" ca="1">SUM(INDIRECT(ADDRESS(expenditure_min_row,COLUMN())&amp;":"&amp;ADDRESS(expenditure_max_row,COLUMN())))</f>
        <v>0</v>
      </c>
      <c r="DU41" s="119" cm="1">
        <f t="array" aca="1" ref="DU41" ca="1">SUM(INDIRECT(ADDRESS(expenditure_min_row,COLUMN())&amp;":"&amp;ADDRESS(expenditure_max_row,COLUMN())))</f>
        <v>0</v>
      </c>
      <c r="DV41" s="119" cm="1">
        <f t="array" aca="1" ref="DV41" ca="1">SUM(INDIRECT(ADDRESS(expenditure_min_row,COLUMN())&amp;":"&amp;ADDRESS(expenditure_max_row,COLUMN())))</f>
        <v>0</v>
      </c>
      <c r="DW41" s="119" cm="1">
        <f t="array" aca="1" ref="DW41" ca="1">SUM(INDIRECT(ADDRESS(expenditure_min_row,COLUMN())&amp;":"&amp;ADDRESS(expenditure_max_row,COLUMN())))</f>
        <v>0</v>
      </c>
      <c r="DX41" s="119" cm="1">
        <f t="array" aca="1" ref="DX41" ca="1">SUM(INDIRECT(ADDRESS(expenditure_min_row,COLUMN())&amp;":"&amp;ADDRESS(expenditure_max_row,COLUMN())))</f>
        <v>0</v>
      </c>
      <c r="DZ41" s="119" cm="1">
        <f t="array" aca="1" ref="DZ41" ca="1">SUM(INDIRECT(ADDRESS(expenditure_min_row,COLUMN())&amp;":"&amp;ADDRESS(expenditure_max_row,COLUMN())))</f>
        <v>0</v>
      </c>
      <c r="EA41" s="119" cm="1">
        <f t="array" aca="1" ref="EA41" ca="1">SUM(INDIRECT(ADDRESS(expenditure_min_row,COLUMN())&amp;":"&amp;ADDRESS(expenditure_max_row,COLUMN())))</f>
        <v>0</v>
      </c>
      <c r="EB41" s="119" cm="1">
        <f t="array" aca="1" ref="EB41" ca="1">SUM(INDIRECT(ADDRESS(expenditure_min_row,COLUMN())&amp;":"&amp;ADDRESS(expenditure_max_row,COLUMN())))</f>
        <v>0</v>
      </c>
      <c r="EC41" s="119" cm="1">
        <f t="array" aca="1" ref="EC41" ca="1">SUM(INDIRECT(ADDRESS(expenditure_min_row,COLUMN())&amp;":"&amp;ADDRESS(expenditure_max_row,COLUMN())))</f>
        <v>0</v>
      </c>
      <c r="ED41" s="119" cm="1">
        <f t="array" aca="1" ref="ED41" ca="1">SUM(INDIRECT(ADDRESS(expenditure_min_row,COLUMN())&amp;":"&amp;ADDRESS(expenditure_max_row,COLUMN())))</f>
        <v>0</v>
      </c>
      <c r="EE41" s="119" cm="1">
        <f t="array" aca="1" ref="EE41" ca="1">SUM(INDIRECT(ADDRESS(expenditure_min_row,COLUMN())&amp;":"&amp;ADDRESS(expenditure_max_row,COLUMN())))</f>
        <v>0</v>
      </c>
      <c r="EF41" s="119" cm="1">
        <f t="array" aca="1" ref="EF41" ca="1">SUM(INDIRECT(ADDRESS(expenditure_min_row,COLUMN())&amp;":"&amp;ADDRESS(expenditure_max_row,COLUMN())))</f>
        <v>0</v>
      </c>
      <c r="EG41" s="119" cm="1">
        <f t="array" aca="1" ref="EG41" ca="1">SUM(INDIRECT(ADDRESS(expenditure_min_row,COLUMN())&amp;":"&amp;ADDRESS(expenditure_max_row,COLUMN())))</f>
        <v>0</v>
      </c>
      <c r="EH41" s="119" cm="1">
        <f t="array" aca="1" ref="EH41" ca="1">SUM(INDIRECT(ADDRESS(expenditure_min_row,COLUMN())&amp;":"&amp;ADDRESS(expenditure_max_row,COLUMN())))</f>
        <v>0</v>
      </c>
      <c r="EI41" s="119" cm="1">
        <f t="array" aca="1" ref="EI41" ca="1">SUM(INDIRECT(ADDRESS(expenditure_min_row,COLUMN())&amp;":"&amp;ADDRESS(expenditure_max_row,COLUMN())))</f>
        <v>0</v>
      </c>
      <c r="EJ41" s="119" cm="1">
        <f t="array" aca="1" ref="EJ41" ca="1">SUM(INDIRECT(ADDRESS(expenditure_min_row,COLUMN())&amp;":"&amp;ADDRESS(expenditure_max_row,COLUMN())))</f>
        <v>0</v>
      </c>
      <c r="EK41" s="119" cm="1">
        <f t="array" aca="1" ref="EK41" ca="1">SUM(INDIRECT(ADDRESS(expenditure_min_row,COLUMN())&amp;":"&amp;ADDRESS(expenditure_max_row,COLUMN())))</f>
        <v>0</v>
      </c>
      <c r="EL41" s="119" cm="1">
        <f t="array" aca="1" ref="EL41" ca="1">SUM(INDIRECT(ADDRESS(expenditure_min_row,COLUMN())&amp;":"&amp;ADDRESS(expenditure_max_row,COLUMN())))</f>
        <v>0</v>
      </c>
      <c r="EN41" s="119" cm="1">
        <f t="array" aca="1" ref="EN41" ca="1">SUM(INDIRECT(ADDRESS(expenditure_min_row,COLUMN())&amp;":"&amp;ADDRESS(expenditure_max_row,COLUMN())))</f>
        <v>0</v>
      </c>
      <c r="EO41" s="119" cm="1">
        <f t="array" aca="1" ref="EO41" ca="1">SUM(INDIRECT(ADDRESS(expenditure_min_row,COLUMN())&amp;":"&amp;ADDRESS(expenditure_max_row,COLUMN())))</f>
        <v>0</v>
      </c>
      <c r="EP41" s="119" cm="1">
        <f t="array" aca="1" ref="EP41" ca="1">SUM(INDIRECT(ADDRESS(expenditure_min_row,COLUMN())&amp;":"&amp;ADDRESS(expenditure_max_row,COLUMN())))</f>
        <v>0</v>
      </c>
      <c r="EQ41" s="119" cm="1">
        <f t="array" aca="1" ref="EQ41" ca="1">SUM(INDIRECT(ADDRESS(expenditure_min_row,COLUMN())&amp;":"&amp;ADDRESS(expenditure_max_row,COLUMN())))</f>
        <v>0</v>
      </c>
      <c r="ER41" s="119" cm="1">
        <f t="array" aca="1" ref="ER41" ca="1">SUM(INDIRECT(ADDRESS(expenditure_min_row,COLUMN())&amp;":"&amp;ADDRESS(expenditure_max_row,COLUMN())))</f>
        <v>0</v>
      </c>
      <c r="ES41" s="119" cm="1">
        <f t="array" aca="1" ref="ES41" ca="1">SUM(INDIRECT(ADDRESS(expenditure_min_row,COLUMN())&amp;":"&amp;ADDRESS(expenditure_max_row,COLUMN())))</f>
        <v>0</v>
      </c>
      <c r="ET41" s="119" cm="1">
        <f t="array" aca="1" ref="ET41" ca="1">SUM(INDIRECT(ADDRESS(expenditure_min_row,COLUMN())&amp;":"&amp;ADDRESS(expenditure_max_row,COLUMN())))</f>
        <v>0</v>
      </c>
      <c r="EU41" s="119" cm="1">
        <f t="array" aca="1" ref="EU41" ca="1">SUM(INDIRECT(ADDRESS(expenditure_min_row,COLUMN())&amp;":"&amp;ADDRESS(expenditure_max_row,COLUMN())))</f>
        <v>0</v>
      </c>
      <c r="EV41" s="119" cm="1">
        <f t="array" aca="1" ref="EV41" ca="1">SUM(INDIRECT(ADDRESS(expenditure_min_row,COLUMN())&amp;":"&amp;ADDRESS(expenditure_max_row,COLUMN())))</f>
        <v>0</v>
      </c>
      <c r="EW41" s="119" cm="1">
        <f t="array" aca="1" ref="EW41" ca="1">SUM(INDIRECT(ADDRESS(expenditure_min_row,COLUMN())&amp;":"&amp;ADDRESS(expenditure_max_row,COLUMN())))</f>
        <v>0</v>
      </c>
      <c r="EX41" s="119" cm="1">
        <f t="array" aca="1" ref="EX41" ca="1">SUM(INDIRECT(ADDRESS(expenditure_min_row,COLUMN())&amp;":"&amp;ADDRESS(expenditure_max_row,COLUMN())))</f>
        <v>0</v>
      </c>
      <c r="EY41" s="119" cm="1">
        <f t="array" aca="1" ref="EY41" ca="1">SUM(INDIRECT(ADDRESS(expenditure_min_row,COLUMN())&amp;":"&amp;ADDRESS(expenditure_max_row,COLUMN())))</f>
        <v>0</v>
      </c>
      <c r="EZ41" s="119" cm="1">
        <f t="array" aca="1" ref="EZ41" ca="1">SUM(INDIRECT(ADDRESS(expenditure_min_row,COLUMN())&amp;":"&amp;ADDRESS(expenditure_max_row,COLUMN())))</f>
        <v>0</v>
      </c>
      <c r="FB41" s="119" cm="1">
        <f t="array" aca="1" ref="FB41" ca="1">SUM(INDIRECT(ADDRESS(expenditure_min_row,COLUMN())&amp;":"&amp;ADDRESS(expenditure_max_row,COLUMN())))</f>
        <v>0</v>
      </c>
      <c r="FC41" s="119" cm="1">
        <f t="array" aca="1" ref="FC41" ca="1">SUM(INDIRECT(ADDRESS(expenditure_min_row,COLUMN())&amp;":"&amp;ADDRESS(expenditure_max_row,COLUMN())))</f>
        <v>0</v>
      </c>
      <c r="FD41" s="119" cm="1">
        <f t="array" aca="1" ref="FD41" ca="1">SUM(INDIRECT(ADDRESS(expenditure_min_row,COLUMN())&amp;":"&amp;ADDRESS(expenditure_max_row,COLUMN())))</f>
        <v>0</v>
      </c>
      <c r="FE41" s="119" cm="1">
        <f t="array" aca="1" ref="FE41" ca="1">SUM(INDIRECT(ADDRESS(expenditure_min_row,COLUMN())&amp;":"&amp;ADDRESS(expenditure_max_row,COLUMN())))</f>
        <v>0</v>
      </c>
      <c r="FF41" s="119" cm="1">
        <f t="array" aca="1" ref="FF41" ca="1">SUM(INDIRECT(ADDRESS(expenditure_min_row,COLUMN())&amp;":"&amp;ADDRESS(expenditure_max_row,COLUMN())))</f>
        <v>0</v>
      </c>
      <c r="FG41" s="119" cm="1">
        <f t="array" aca="1" ref="FG41" ca="1">SUM(INDIRECT(ADDRESS(expenditure_min_row,COLUMN())&amp;":"&amp;ADDRESS(expenditure_max_row,COLUMN())))</f>
        <v>0</v>
      </c>
      <c r="FH41" s="119" cm="1">
        <f t="array" aca="1" ref="FH41" ca="1">SUM(INDIRECT(ADDRESS(expenditure_min_row,COLUMN())&amp;":"&amp;ADDRESS(expenditure_max_row,COLUMN())))</f>
        <v>0</v>
      </c>
      <c r="FI41" s="119" cm="1">
        <f t="array" aca="1" ref="FI41" ca="1">SUM(INDIRECT(ADDRESS(expenditure_min_row,COLUMN())&amp;":"&amp;ADDRESS(expenditure_max_row,COLUMN())))</f>
        <v>0</v>
      </c>
      <c r="FJ41" s="119" cm="1">
        <f t="array" aca="1" ref="FJ41" ca="1">SUM(INDIRECT(ADDRESS(expenditure_min_row,COLUMN())&amp;":"&amp;ADDRESS(expenditure_max_row,COLUMN())))</f>
        <v>0</v>
      </c>
      <c r="FK41" s="119" cm="1">
        <f t="array" aca="1" ref="FK41" ca="1">SUM(INDIRECT(ADDRESS(expenditure_min_row,COLUMN())&amp;":"&amp;ADDRESS(expenditure_max_row,COLUMN())))</f>
        <v>0</v>
      </c>
      <c r="FL41" s="119" cm="1">
        <f t="array" aca="1" ref="FL41" ca="1">SUM(INDIRECT(ADDRESS(expenditure_min_row,COLUMN())&amp;":"&amp;ADDRESS(expenditure_max_row,COLUMN())))</f>
        <v>0</v>
      </c>
      <c r="FM41" s="119" cm="1">
        <f t="array" aca="1" ref="FM41" ca="1">SUM(INDIRECT(ADDRESS(expenditure_min_row,COLUMN())&amp;":"&amp;ADDRESS(expenditure_max_row,COLUMN())))</f>
        <v>0</v>
      </c>
      <c r="FN41" s="119" cm="1">
        <f t="array" aca="1" ref="FN41" ca="1">SUM(INDIRECT(ADDRESS(expenditure_min_row,COLUMN())&amp;":"&amp;ADDRESS(expenditure_max_row,COLUMN())))</f>
        <v>0</v>
      </c>
      <c r="FP41" s="119" cm="1">
        <f t="array" aca="1" ref="FP41" ca="1">SUM(INDIRECT(ADDRESS(expenditure_min_row,COLUMN())&amp;":"&amp;ADDRESS(expenditure_max_row,COLUMN())))</f>
        <v>0</v>
      </c>
      <c r="FQ41" s="119" cm="1">
        <f t="array" aca="1" ref="FQ41" ca="1">SUM(INDIRECT(ADDRESS(expenditure_min_row,COLUMN())&amp;":"&amp;ADDRESS(expenditure_max_row,COLUMN())))</f>
        <v>0</v>
      </c>
      <c r="FR41" s="119" cm="1">
        <f t="array" aca="1" ref="FR41" ca="1">SUM(INDIRECT(ADDRESS(expenditure_min_row,COLUMN())&amp;":"&amp;ADDRESS(expenditure_max_row,COLUMN())))</f>
        <v>0</v>
      </c>
      <c r="FS41" s="119" cm="1">
        <f t="array" aca="1" ref="FS41" ca="1">SUM(INDIRECT(ADDRESS(expenditure_min_row,COLUMN())&amp;":"&amp;ADDRESS(expenditure_max_row,COLUMN())))</f>
        <v>0</v>
      </c>
      <c r="FT41" s="119" cm="1">
        <f t="array" aca="1" ref="FT41" ca="1">SUM(INDIRECT(ADDRESS(expenditure_min_row,COLUMN())&amp;":"&amp;ADDRESS(expenditure_max_row,COLUMN())))</f>
        <v>0</v>
      </c>
      <c r="FU41" s="119" cm="1">
        <f t="array" aca="1" ref="FU41" ca="1">SUM(INDIRECT(ADDRESS(expenditure_min_row,COLUMN())&amp;":"&amp;ADDRESS(expenditure_max_row,COLUMN())))</f>
        <v>0</v>
      </c>
      <c r="FV41" s="119" cm="1">
        <f t="array" aca="1" ref="FV41" ca="1">SUM(INDIRECT(ADDRESS(expenditure_min_row,COLUMN())&amp;":"&amp;ADDRESS(expenditure_max_row,COLUMN())))</f>
        <v>0</v>
      </c>
      <c r="FW41" s="119" cm="1">
        <f t="array" aca="1" ref="FW41" ca="1">SUM(INDIRECT(ADDRESS(expenditure_min_row,COLUMN())&amp;":"&amp;ADDRESS(expenditure_max_row,COLUMN())))</f>
        <v>0</v>
      </c>
      <c r="FX41" s="119" cm="1">
        <f t="array" aca="1" ref="FX41" ca="1">SUM(INDIRECT(ADDRESS(expenditure_min_row,COLUMN())&amp;":"&amp;ADDRESS(expenditure_max_row,COLUMN())))</f>
        <v>0</v>
      </c>
      <c r="FY41" s="119" cm="1">
        <f t="array" aca="1" ref="FY41" ca="1">SUM(INDIRECT(ADDRESS(expenditure_min_row,COLUMN())&amp;":"&amp;ADDRESS(expenditure_max_row,COLUMN())))</f>
        <v>0</v>
      </c>
      <c r="FZ41" s="119" cm="1">
        <f t="array" aca="1" ref="FZ41" ca="1">SUM(INDIRECT(ADDRESS(expenditure_min_row,COLUMN())&amp;":"&amp;ADDRESS(expenditure_max_row,COLUMN())))</f>
        <v>0</v>
      </c>
      <c r="GA41" s="119" cm="1">
        <f t="array" aca="1" ref="GA41" ca="1">SUM(INDIRECT(ADDRESS(expenditure_min_row,COLUMN())&amp;":"&amp;ADDRESS(expenditure_max_row,COLUMN())))</f>
        <v>0</v>
      </c>
      <c r="GB41" s="119" cm="1">
        <f t="array" aca="1" ref="GB41" ca="1">SUM(INDIRECT(ADDRESS(expenditure_min_row,COLUMN())&amp;":"&amp;ADDRESS(expenditure_max_row,COLUMN())))</f>
        <v>0</v>
      </c>
    </row>
    <row r="43" spans="2:184" s="108" customFormat="1" x14ac:dyDescent="0.3">
      <c r="B43" s="35" t="s">
        <v>32</v>
      </c>
      <c r="D43" s="10">
        <f>DATE(D$3,1,1)</f>
        <v>45292</v>
      </c>
      <c r="E43" s="10">
        <f>DATE(D$3,2,1)</f>
        <v>45323</v>
      </c>
      <c r="F43" s="10">
        <f>DATE(D$3,3,1)</f>
        <v>45352</v>
      </c>
      <c r="G43" s="10">
        <f>DATE(D$3,4,1)</f>
        <v>45383</v>
      </c>
      <c r="H43" s="10">
        <f>DATE(D$3,5,1)</f>
        <v>45413</v>
      </c>
      <c r="I43" s="10">
        <f>DATE(D$3,6,1)</f>
        <v>45444</v>
      </c>
      <c r="J43" s="10">
        <f>DATE(D$3,7,1)</f>
        <v>45474</v>
      </c>
      <c r="K43" s="10">
        <f>DATE(D$3,8,1)</f>
        <v>45505</v>
      </c>
      <c r="L43" s="10">
        <f>DATE(D$3,9,1)</f>
        <v>45536</v>
      </c>
      <c r="M43" s="10">
        <f>DATE(D$3,10,1)</f>
        <v>45566</v>
      </c>
      <c r="N43" s="10">
        <f>DATE(D$3,11,1)</f>
        <v>45597</v>
      </c>
      <c r="O43" s="10">
        <f>DATE(D$3,12,1)</f>
        <v>45627</v>
      </c>
      <c r="P43" s="11">
        <f>D3</f>
        <v>2024</v>
      </c>
      <c r="Q43" s="6"/>
      <c r="R43" s="10">
        <f>DATE(R$3,1,1)</f>
        <v>45658</v>
      </c>
      <c r="S43" s="10">
        <f>DATE(R$3,2,1)</f>
        <v>45689</v>
      </c>
      <c r="T43" s="10">
        <f>DATE(R$3,3,1)</f>
        <v>45717</v>
      </c>
      <c r="U43" s="10">
        <f>DATE(R$3,4,1)</f>
        <v>45748</v>
      </c>
      <c r="V43" s="10">
        <f>DATE(R$3,5,1)</f>
        <v>45778</v>
      </c>
      <c r="W43" s="10">
        <f>DATE(R$3,6,1)</f>
        <v>45809</v>
      </c>
      <c r="X43" s="10">
        <f>DATE(R$3,7,1)</f>
        <v>45839</v>
      </c>
      <c r="Y43" s="10">
        <f>DATE(R$3,8,1)</f>
        <v>45870</v>
      </c>
      <c r="Z43" s="10">
        <f>DATE(R$3,9,1)</f>
        <v>45901</v>
      </c>
      <c r="AA43" s="10">
        <f>DATE(R$3,10,1)</f>
        <v>45931</v>
      </c>
      <c r="AB43" s="10">
        <f>DATE(R$3,11,1)</f>
        <v>45962</v>
      </c>
      <c r="AC43" s="10">
        <f>DATE(R$3,12,1)</f>
        <v>45992</v>
      </c>
      <c r="AD43" s="11">
        <f>R3</f>
        <v>2025</v>
      </c>
      <c r="AE43" s="6"/>
      <c r="AF43" s="10">
        <f>DATE(AF$3,1,1)</f>
        <v>46023</v>
      </c>
      <c r="AG43" s="10">
        <f>DATE(AF$3,2,1)</f>
        <v>46054</v>
      </c>
      <c r="AH43" s="10">
        <f>DATE(AF$3,3,1)</f>
        <v>46082</v>
      </c>
      <c r="AI43" s="10">
        <f>DATE(AF$3,4,1)</f>
        <v>46113</v>
      </c>
      <c r="AJ43" s="10">
        <f>DATE(AF$3,5,1)</f>
        <v>46143</v>
      </c>
      <c r="AK43" s="10">
        <f>DATE(AF$3,6,1)</f>
        <v>46174</v>
      </c>
      <c r="AL43" s="10">
        <f>DATE(AF$3,7,1)</f>
        <v>46204</v>
      </c>
      <c r="AM43" s="10">
        <f>DATE(AF$3,8,1)</f>
        <v>46235</v>
      </c>
      <c r="AN43" s="10">
        <f>DATE(AF$3,9,1)</f>
        <v>46266</v>
      </c>
      <c r="AO43" s="10">
        <f>DATE(AF$3,10,1)</f>
        <v>46296</v>
      </c>
      <c r="AP43" s="10">
        <f>DATE(AF$3,11,1)</f>
        <v>46327</v>
      </c>
      <c r="AQ43" s="10">
        <f>DATE(AF$3,12,1)</f>
        <v>46357</v>
      </c>
      <c r="AR43" s="11">
        <f>AF3</f>
        <v>2026</v>
      </c>
      <c r="AS43" s="6"/>
      <c r="AT43" s="10">
        <f>DATE(AT$3,1,1)</f>
        <v>46388</v>
      </c>
      <c r="AU43" s="10">
        <f>DATE(AT$3,2,1)</f>
        <v>46419</v>
      </c>
      <c r="AV43" s="10">
        <f>DATE(AT$3,3,1)</f>
        <v>46447</v>
      </c>
      <c r="AW43" s="10">
        <f>DATE(AT$3,4,1)</f>
        <v>46478</v>
      </c>
      <c r="AX43" s="10">
        <f>DATE(AT$3,5,1)</f>
        <v>46508</v>
      </c>
      <c r="AY43" s="10">
        <f>DATE(AT$3,6,1)</f>
        <v>46539</v>
      </c>
      <c r="AZ43" s="10">
        <f>DATE(AT$3,7,1)</f>
        <v>46569</v>
      </c>
      <c r="BA43" s="10">
        <f>DATE(AT$3,8,1)</f>
        <v>46600</v>
      </c>
      <c r="BB43" s="10">
        <f>DATE(AT$3,9,1)</f>
        <v>46631</v>
      </c>
      <c r="BC43" s="10">
        <f>DATE(AT$3,10,1)</f>
        <v>46661</v>
      </c>
      <c r="BD43" s="10">
        <f>DATE(AT$3,11,1)</f>
        <v>46692</v>
      </c>
      <c r="BE43" s="10">
        <f>DATE(AT$3,12,1)</f>
        <v>46722</v>
      </c>
      <c r="BF43" s="11">
        <f>AT3</f>
        <v>2027</v>
      </c>
      <c r="BG43" s="6"/>
      <c r="BH43" s="10">
        <f>DATE(BH$3,1,1)</f>
        <v>46753</v>
      </c>
      <c r="BI43" s="10">
        <f>DATE(BH$3,2,1)</f>
        <v>46784</v>
      </c>
      <c r="BJ43" s="10">
        <f>DATE(BH$3,3,1)</f>
        <v>46813</v>
      </c>
      <c r="BK43" s="10">
        <f>DATE(BH$3,4,1)</f>
        <v>46844</v>
      </c>
      <c r="BL43" s="10">
        <f>DATE(BH$3,5,1)</f>
        <v>46874</v>
      </c>
      <c r="BM43" s="10">
        <f>DATE(BH$3,6,1)</f>
        <v>46905</v>
      </c>
      <c r="BN43" s="10">
        <f>DATE(BH$3,7,1)</f>
        <v>46935</v>
      </c>
      <c r="BO43" s="10">
        <f>DATE(BH$3,8,1)</f>
        <v>46966</v>
      </c>
      <c r="BP43" s="10">
        <f>DATE(BH$3,9,1)</f>
        <v>46997</v>
      </c>
      <c r="BQ43" s="10">
        <f>DATE(BH$3,10,1)</f>
        <v>47027</v>
      </c>
      <c r="BR43" s="10">
        <f>DATE(BH$3,11,1)</f>
        <v>47058</v>
      </c>
      <c r="BS43" s="10">
        <f>DATE(BH$3,12,1)</f>
        <v>47088</v>
      </c>
      <c r="BT43" s="11">
        <f>BH3</f>
        <v>2028</v>
      </c>
      <c r="BU43" s="6"/>
      <c r="BV43" s="10">
        <f>DATE(BV$3,1,1)</f>
        <v>47119</v>
      </c>
      <c r="BW43" s="10">
        <f>DATE(BV$3,2,1)</f>
        <v>47150</v>
      </c>
      <c r="BX43" s="10">
        <f>DATE(BV$3,3,1)</f>
        <v>47178</v>
      </c>
      <c r="BY43" s="10">
        <f>DATE(BV$3,4,1)</f>
        <v>47209</v>
      </c>
      <c r="BZ43" s="10">
        <f>DATE(BV$3,5,1)</f>
        <v>47239</v>
      </c>
      <c r="CA43" s="10">
        <f>DATE(BV$3,6,1)</f>
        <v>47270</v>
      </c>
      <c r="CB43" s="10">
        <f>DATE(BV$3,7,1)</f>
        <v>47300</v>
      </c>
      <c r="CC43" s="10">
        <f>DATE(BV$3,8,1)</f>
        <v>47331</v>
      </c>
      <c r="CD43" s="10">
        <f>DATE(BV$3,9,1)</f>
        <v>47362</v>
      </c>
      <c r="CE43" s="10">
        <f>DATE(BV$3,10,1)</f>
        <v>47392</v>
      </c>
      <c r="CF43" s="10">
        <f>DATE(BV$3,11,1)</f>
        <v>47423</v>
      </c>
      <c r="CG43" s="10">
        <f>DATE(BV$3,12,1)</f>
        <v>47453</v>
      </c>
      <c r="CH43" s="11">
        <f>BV3</f>
        <v>2029</v>
      </c>
      <c r="CI43" s="6"/>
      <c r="CJ43" s="10">
        <f>DATE(CJ$3,1,1)</f>
        <v>47484</v>
      </c>
      <c r="CK43" s="10">
        <f>DATE(CJ$3,2,1)</f>
        <v>47515</v>
      </c>
      <c r="CL43" s="10">
        <f>DATE(CJ$3,3,1)</f>
        <v>47543</v>
      </c>
      <c r="CM43" s="10">
        <f>DATE(CJ$3,4,1)</f>
        <v>47574</v>
      </c>
      <c r="CN43" s="10">
        <f>DATE(CJ$3,5,1)</f>
        <v>47604</v>
      </c>
      <c r="CO43" s="10">
        <f>DATE(CJ$3,6,1)</f>
        <v>47635</v>
      </c>
      <c r="CP43" s="10">
        <f>DATE(CJ$3,7,1)</f>
        <v>47665</v>
      </c>
      <c r="CQ43" s="10">
        <f>DATE(CJ$3,8,1)</f>
        <v>47696</v>
      </c>
      <c r="CR43" s="10">
        <f>DATE(CJ$3,9,1)</f>
        <v>47727</v>
      </c>
      <c r="CS43" s="10">
        <f>DATE(CJ$3,10,1)</f>
        <v>47757</v>
      </c>
      <c r="CT43" s="10">
        <f>DATE(CJ$3,11,1)</f>
        <v>47788</v>
      </c>
      <c r="CU43" s="10">
        <f>DATE(CJ$3,12,1)</f>
        <v>47818</v>
      </c>
      <c r="CV43" s="11">
        <f>CJ3</f>
        <v>2030</v>
      </c>
      <c r="CW43" s="6"/>
      <c r="CX43" s="10">
        <f>DATE(CX$3,1,1)</f>
        <v>47849</v>
      </c>
      <c r="CY43" s="10">
        <f>DATE(CX$3,2,1)</f>
        <v>47880</v>
      </c>
      <c r="CZ43" s="10">
        <f>DATE(CX$3,3,1)</f>
        <v>47908</v>
      </c>
      <c r="DA43" s="10">
        <f>DATE(CX$3,4,1)</f>
        <v>47939</v>
      </c>
      <c r="DB43" s="10">
        <f>DATE(CX$3,5,1)</f>
        <v>47969</v>
      </c>
      <c r="DC43" s="10">
        <f>DATE(CX$3,6,1)</f>
        <v>48000</v>
      </c>
      <c r="DD43" s="10">
        <f>DATE(CX$3,7,1)</f>
        <v>48030</v>
      </c>
      <c r="DE43" s="10">
        <f>DATE(CX$3,8,1)</f>
        <v>48061</v>
      </c>
      <c r="DF43" s="10">
        <f>DATE(CX$3,9,1)</f>
        <v>48092</v>
      </c>
      <c r="DG43" s="10">
        <f>DATE(CX$3,10,1)</f>
        <v>48122</v>
      </c>
      <c r="DH43" s="10">
        <f>DATE(CX$3,11,1)</f>
        <v>48153</v>
      </c>
      <c r="DI43" s="10">
        <f>DATE(CX$3,12,1)</f>
        <v>48183</v>
      </c>
      <c r="DJ43" s="11">
        <f>CX3</f>
        <v>2031</v>
      </c>
      <c r="DK43" s="6"/>
      <c r="DL43" s="10">
        <f>DATE(DL$3,1,1)</f>
        <v>48214</v>
      </c>
      <c r="DM43" s="10">
        <f>DATE(DL$3,2,1)</f>
        <v>48245</v>
      </c>
      <c r="DN43" s="10">
        <f>DATE(DL$3,3,1)</f>
        <v>48274</v>
      </c>
      <c r="DO43" s="10">
        <f>DATE(DL$3,4,1)</f>
        <v>48305</v>
      </c>
      <c r="DP43" s="10">
        <f>DATE(DL$3,5,1)</f>
        <v>48335</v>
      </c>
      <c r="DQ43" s="10">
        <f>DATE(DL$3,6,1)</f>
        <v>48366</v>
      </c>
      <c r="DR43" s="10">
        <f>DATE(DL$3,7,1)</f>
        <v>48396</v>
      </c>
      <c r="DS43" s="10">
        <f>DATE(DL$3,8,1)</f>
        <v>48427</v>
      </c>
      <c r="DT43" s="10">
        <f>DATE(DL$3,9,1)</f>
        <v>48458</v>
      </c>
      <c r="DU43" s="10">
        <f>DATE(DL$3,10,1)</f>
        <v>48488</v>
      </c>
      <c r="DV43" s="10">
        <f>DATE(DL$3,11,1)</f>
        <v>48519</v>
      </c>
      <c r="DW43" s="10">
        <f>DATE(DL$3,12,1)</f>
        <v>48549</v>
      </c>
      <c r="DX43" s="11">
        <f>DL3</f>
        <v>2032</v>
      </c>
      <c r="DY43" s="6"/>
      <c r="DZ43" s="10">
        <f>DATE(DZ$3,1,1)</f>
        <v>48580</v>
      </c>
      <c r="EA43" s="10">
        <f>DATE(DZ$3,2,1)</f>
        <v>48611</v>
      </c>
      <c r="EB43" s="10">
        <f>DATE(DZ$3,3,1)</f>
        <v>48639</v>
      </c>
      <c r="EC43" s="10">
        <f>DATE(DZ$3,4,1)</f>
        <v>48670</v>
      </c>
      <c r="ED43" s="10">
        <f>DATE(DZ$3,5,1)</f>
        <v>48700</v>
      </c>
      <c r="EE43" s="10">
        <f>DATE(DZ$3,6,1)</f>
        <v>48731</v>
      </c>
      <c r="EF43" s="10">
        <f>DATE(DZ$3,7,1)</f>
        <v>48761</v>
      </c>
      <c r="EG43" s="10">
        <f>DATE(DZ$3,8,1)</f>
        <v>48792</v>
      </c>
      <c r="EH43" s="10">
        <f>DATE(DZ$3,9,1)</f>
        <v>48823</v>
      </c>
      <c r="EI43" s="10">
        <f>DATE(DZ$3,10,1)</f>
        <v>48853</v>
      </c>
      <c r="EJ43" s="10">
        <f>DATE(DZ$3,11,1)</f>
        <v>48884</v>
      </c>
      <c r="EK43" s="10">
        <f>DATE(DZ$3,12,1)</f>
        <v>48914</v>
      </c>
      <c r="EL43" s="11">
        <f>DZ3</f>
        <v>2033</v>
      </c>
      <c r="EM43" s="6"/>
      <c r="EN43" s="10">
        <f>DATE(EN$3,1,1)</f>
        <v>48945</v>
      </c>
      <c r="EO43" s="10">
        <f>DATE(EN$3,2,1)</f>
        <v>48976</v>
      </c>
      <c r="EP43" s="10">
        <f>DATE(EN$3,3,1)</f>
        <v>49004</v>
      </c>
      <c r="EQ43" s="10">
        <f>DATE(EN$3,4,1)</f>
        <v>49035</v>
      </c>
      <c r="ER43" s="10">
        <f>DATE(EN$3,5,1)</f>
        <v>49065</v>
      </c>
      <c r="ES43" s="10">
        <f>DATE(EN$3,6,1)</f>
        <v>49096</v>
      </c>
      <c r="ET43" s="10">
        <f>DATE(EN$3,7,1)</f>
        <v>49126</v>
      </c>
      <c r="EU43" s="10">
        <f>DATE(EN$3,8,1)</f>
        <v>49157</v>
      </c>
      <c r="EV43" s="10">
        <f>DATE(EN$3,9,1)</f>
        <v>49188</v>
      </c>
      <c r="EW43" s="10">
        <f>DATE(EN$3,10,1)</f>
        <v>49218</v>
      </c>
      <c r="EX43" s="10">
        <f>DATE(EN$3,11,1)</f>
        <v>49249</v>
      </c>
      <c r="EY43" s="10">
        <f>DATE(EN$3,12,1)</f>
        <v>49279</v>
      </c>
      <c r="EZ43" s="11">
        <f>EN3</f>
        <v>2034</v>
      </c>
      <c r="FA43" s="6"/>
      <c r="FB43" s="10">
        <f>DATE(FB$3,1,1)</f>
        <v>49310</v>
      </c>
      <c r="FC43" s="10">
        <f>DATE(FB$3,2,1)</f>
        <v>49341</v>
      </c>
      <c r="FD43" s="10">
        <f>DATE(FB$3,3,1)</f>
        <v>49369</v>
      </c>
      <c r="FE43" s="10">
        <f>DATE(FB$3,4,1)</f>
        <v>49400</v>
      </c>
      <c r="FF43" s="10">
        <f>DATE(FB$3,5,1)</f>
        <v>49430</v>
      </c>
      <c r="FG43" s="10">
        <f>DATE(FB$3,6,1)</f>
        <v>49461</v>
      </c>
      <c r="FH43" s="10">
        <f>DATE(FB$3,7,1)</f>
        <v>49491</v>
      </c>
      <c r="FI43" s="10">
        <f>DATE(FB$3,8,1)</f>
        <v>49522</v>
      </c>
      <c r="FJ43" s="10">
        <f>DATE(FB$3,9,1)</f>
        <v>49553</v>
      </c>
      <c r="FK43" s="10">
        <f>DATE(FB$3,10,1)</f>
        <v>49583</v>
      </c>
      <c r="FL43" s="10">
        <f>DATE(FB$3,11,1)</f>
        <v>49614</v>
      </c>
      <c r="FM43" s="10">
        <f>DATE(FB$3,12,1)</f>
        <v>49644</v>
      </c>
      <c r="FN43" s="11">
        <f>FB3</f>
        <v>2035</v>
      </c>
      <c r="FO43" s="6"/>
      <c r="FP43" s="10">
        <f>DATE(FP$3,1,1)</f>
        <v>49675</v>
      </c>
      <c r="FQ43" s="10">
        <f>DATE(FP$3,2,1)</f>
        <v>49706</v>
      </c>
      <c r="FR43" s="10">
        <f>DATE(FP$3,3,1)</f>
        <v>49735</v>
      </c>
      <c r="FS43" s="10">
        <f>DATE(FP$3,4,1)</f>
        <v>49766</v>
      </c>
      <c r="FT43" s="10">
        <f>DATE(FP$3,5,1)</f>
        <v>49796</v>
      </c>
      <c r="FU43" s="10">
        <f>DATE(FP$3,6,1)</f>
        <v>49827</v>
      </c>
      <c r="FV43" s="10">
        <f>DATE(FP$3,7,1)</f>
        <v>49857</v>
      </c>
      <c r="FW43" s="10">
        <f>DATE(FP$3,8,1)</f>
        <v>49888</v>
      </c>
      <c r="FX43" s="10">
        <f>DATE(FP$3,9,1)</f>
        <v>49919</v>
      </c>
      <c r="FY43" s="10">
        <f>DATE(FP$3,10,1)</f>
        <v>49949</v>
      </c>
      <c r="FZ43" s="10">
        <f>DATE(FP$3,11,1)</f>
        <v>49980</v>
      </c>
      <c r="GA43" s="10">
        <f>DATE(FP$3,12,1)</f>
        <v>50010</v>
      </c>
      <c r="GB43" s="11">
        <f>FP3</f>
        <v>2036</v>
      </c>
    </row>
    <row r="44" spans="2:184" s="108" customFormat="1" x14ac:dyDescent="0.3">
      <c r="B44" s="109" t="s">
        <v>33</v>
      </c>
      <c r="D44" s="110"/>
      <c r="E44" s="110">
        <v>10000</v>
      </c>
      <c r="F44" s="110">
        <v>5000</v>
      </c>
      <c r="G44" s="110"/>
      <c r="H44" s="110">
        <v>10000</v>
      </c>
      <c r="I44" s="110">
        <v>5000</v>
      </c>
      <c r="J44" s="110"/>
      <c r="K44" s="110">
        <v>10000</v>
      </c>
      <c r="L44" s="110">
        <v>5000</v>
      </c>
      <c r="M44" s="110"/>
      <c r="N44" s="110">
        <v>10000</v>
      </c>
      <c r="O44" s="110">
        <v>5000</v>
      </c>
      <c r="P44" s="110">
        <f>SUM(D44:O44)</f>
        <v>60000</v>
      </c>
      <c r="R44" s="110"/>
      <c r="S44" s="110"/>
      <c r="T44" s="110"/>
      <c r="U44" s="110"/>
      <c r="V44" s="110"/>
      <c r="W44" s="110"/>
      <c r="X44" s="110"/>
      <c r="Y44" s="110"/>
      <c r="Z44" s="110"/>
      <c r="AA44" s="110"/>
      <c r="AB44" s="110"/>
      <c r="AC44" s="110"/>
      <c r="AD44" s="110">
        <f>SUM(R44:AC44)</f>
        <v>0</v>
      </c>
      <c r="AF44" s="110"/>
      <c r="AG44" s="110"/>
      <c r="AH44" s="110"/>
      <c r="AI44" s="110"/>
      <c r="AJ44" s="110"/>
      <c r="AK44" s="110"/>
      <c r="AL44" s="110"/>
      <c r="AM44" s="110"/>
      <c r="AN44" s="110"/>
      <c r="AO44" s="110"/>
      <c r="AP44" s="110"/>
      <c r="AQ44" s="110"/>
      <c r="AR44" s="110">
        <f>SUM(AF44:AQ44)</f>
        <v>0</v>
      </c>
      <c r="AT44" s="110"/>
      <c r="AU44" s="110"/>
      <c r="AV44" s="110"/>
      <c r="AW44" s="110"/>
      <c r="AX44" s="110"/>
      <c r="AY44" s="110"/>
      <c r="AZ44" s="110"/>
      <c r="BA44" s="110"/>
      <c r="BB44" s="110"/>
      <c r="BC44" s="110"/>
      <c r="BD44" s="110"/>
      <c r="BE44" s="110"/>
      <c r="BF44" s="110">
        <f>SUM(AT44:BE44)</f>
        <v>0</v>
      </c>
      <c r="BH44" s="110"/>
      <c r="BI44" s="110"/>
      <c r="BJ44" s="110"/>
      <c r="BK44" s="110"/>
      <c r="BL44" s="110"/>
      <c r="BM44" s="110"/>
      <c r="BN44" s="110"/>
      <c r="BO44" s="110"/>
      <c r="BP44" s="110"/>
      <c r="BQ44" s="110"/>
      <c r="BR44" s="110"/>
      <c r="BS44" s="110"/>
      <c r="BT44" s="110">
        <f>SUM(BH44:BS44)</f>
        <v>0</v>
      </c>
      <c r="BV44" s="110"/>
      <c r="BW44" s="110"/>
      <c r="BX44" s="110"/>
      <c r="BY44" s="110"/>
      <c r="BZ44" s="110"/>
      <c r="CA44" s="110"/>
      <c r="CB44" s="110"/>
      <c r="CC44" s="110"/>
      <c r="CD44" s="110"/>
      <c r="CE44" s="110"/>
      <c r="CF44" s="110"/>
      <c r="CG44" s="110"/>
      <c r="CH44" s="110">
        <f>SUM(BV44:CG44)</f>
        <v>0</v>
      </c>
      <c r="CJ44" s="110"/>
      <c r="CK44" s="110"/>
      <c r="CL44" s="110"/>
      <c r="CM44" s="110"/>
      <c r="CN44" s="110"/>
      <c r="CO44" s="110"/>
      <c r="CP44" s="110"/>
      <c r="CQ44" s="110"/>
      <c r="CR44" s="110"/>
      <c r="CS44" s="110"/>
      <c r="CT44" s="110"/>
      <c r="CU44" s="110"/>
      <c r="CV44" s="110">
        <f>SUM(CJ44:CU44)</f>
        <v>0</v>
      </c>
      <c r="CX44" s="110"/>
      <c r="CY44" s="110"/>
      <c r="CZ44" s="110"/>
      <c r="DA44" s="110"/>
      <c r="DB44" s="110"/>
      <c r="DC44" s="110"/>
      <c r="DD44" s="110"/>
      <c r="DE44" s="110"/>
      <c r="DF44" s="110"/>
      <c r="DG44" s="110"/>
      <c r="DH44" s="110"/>
      <c r="DI44" s="110"/>
      <c r="DJ44" s="110">
        <f>SUM(CX44:DI44)</f>
        <v>0</v>
      </c>
      <c r="DL44" s="110"/>
      <c r="DM44" s="110"/>
      <c r="DN44" s="110"/>
      <c r="DO44" s="110"/>
      <c r="DP44" s="110"/>
      <c r="DQ44" s="110"/>
      <c r="DR44" s="110"/>
      <c r="DS44" s="110"/>
      <c r="DT44" s="110"/>
      <c r="DU44" s="110"/>
      <c r="DV44" s="110"/>
      <c r="DW44" s="110"/>
      <c r="DX44" s="110">
        <f>SUM(DL44:DW44)</f>
        <v>0</v>
      </c>
      <c r="DZ44" s="110"/>
      <c r="EA44" s="110"/>
      <c r="EB44" s="110"/>
      <c r="EC44" s="110"/>
      <c r="ED44" s="110"/>
      <c r="EE44" s="110"/>
      <c r="EF44" s="110"/>
      <c r="EG44" s="110"/>
      <c r="EH44" s="110"/>
      <c r="EI44" s="110"/>
      <c r="EJ44" s="110"/>
      <c r="EK44" s="110"/>
      <c r="EL44" s="110">
        <f>SUM(DZ44:EK44)</f>
        <v>0</v>
      </c>
      <c r="EN44" s="110"/>
      <c r="EO44" s="110"/>
      <c r="EP44" s="110"/>
      <c r="EQ44" s="110"/>
      <c r="ER44" s="110"/>
      <c r="ES44" s="110"/>
      <c r="ET44" s="110"/>
      <c r="EU44" s="110"/>
      <c r="EV44" s="110"/>
      <c r="EW44" s="110"/>
      <c r="EX44" s="110"/>
      <c r="EY44" s="110"/>
      <c r="EZ44" s="110">
        <f>SUM(EN44:EY44)</f>
        <v>0</v>
      </c>
      <c r="FB44" s="110"/>
      <c r="FC44" s="110"/>
      <c r="FD44" s="110"/>
      <c r="FE44" s="110"/>
      <c r="FF44" s="110"/>
      <c r="FG44" s="110"/>
      <c r="FH44" s="110"/>
      <c r="FI44" s="110"/>
      <c r="FJ44" s="110"/>
      <c r="FK44" s="110"/>
      <c r="FL44" s="110"/>
      <c r="FM44" s="110"/>
      <c r="FN44" s="110">
        <f>SUM(FB44:FM44)</f>
        <v>0</v>
      </c>
      <c r="FP44" s="110"/>
      <c r="FQ44" s="110"/>
      <c r="FR44" s="110"/>
      <c r="FS44" s="110"/>
      <c r="FT44" s="110"/>
      <c r="FU44" s="110"/>
      <c r="FV44" s="110"/>
      <c r="FW44" s="110"/>
      <c r="FX44" s="110"/>
      <c r="FY44" s="110"/>
      <c r="FZ44" s="110"/>
      <c r="GA44" s="110"/>
      <c r="GB44" s="110">
        <f>SUM(FP44:GA44)</f>
        <v>0</v>
      </c>
    </row>
    <row r="45" spans="2:184" s="108" customFormat="1" x14ac:dyDescent="0.3">
      <c r="B45" s="109" t="s">
        <v>34</v>
      </c>
      <c r="D45" s="110">
        <v>2000</v>
      </c>
      <c r="E45" s="110">
        <v>2000</v>
      </c>
      <c r="F45" s="110">
        <v>2000</v>
      </c>
      <c r="G45" s="110">
        <v>2000</v>
      </c>
      <c r="H45" s="110">
        <v>2000</v>
      </c>
      <c r="I45" s="110">
        <v>2000</v>
      </c>
      <c r="J45" s="110">
        <v>2000</v>
      </c>
      <c r="K45" s="110">
        <v>2000</v>
      </c>
      <c r="L45" s="110">
        <v>2000</v>
      </c>
      <c r="M45" s="110">
        <v>2000</v>
      </c>
      <c r="N45" s="110">
        <v>2000</v>
      </c>
      <c r="O45" s="110">
        <v>2000</v>
      </c>
      <c r="P45" s="110">
        <f>SUM(D45:O45)</f>
        <v>24000</v>
      </c>
      <c r="R45" s="110"/>
      <c r="S45" s="110"/>
      <c r="T45" s="110"/>
      <c r="U45" s="110"/>
      <c r="V45" s="110"/>
      <c r="W45" s="110"/>
      <c r="X45" s="110"/>
      <c r="Y45" s="110"/>
      <c r="Z45" s="110"/>
      <c r="AA45" s="110"/>
      <c r="AB45" s="110"/>
      <c r="AC45" s="110"/>
      <c r="AD45" s="110">
        <f>SUM(R45:AC45)</f>
        <v>0</v>
      </c>
      <c r="AF45" s="110"/>
      <c r="AG45" s="110"/>
      <c r="AH45" s="110"/>
      <c r="AI45" s="110"/>
      <c r="AJ45" s="110"/>
      <c r="AK45" s="110"/>
      <c r="AL45" s="110"/>
      <c r="AM45" s="110"/>
      <c r="AN45" s="110"/>
      <c r="AO45" s="110"/>
      <c r="AP45" s="110"/>
      <c r="AQ45" s="110"/>
      <c r="AR45" s="110">
        <f>SUM(AF45:AQ45)</f>
        <v>0</v>
      </c>
      <c r="AT45" s="110"/>
      <c r="AU45" s="110"/>
      <c r="AV45" s="110"/>
      <c r="AW45" s="110"/>
      <c r="AX45" s="110"/>
      <c r="AY45" s="110"/>
      <c r="AZ45" s="110"/>
      <c r="BA45" s="110"/>
      <c r="BB45" s="110"/>
      <c r="BC45" s="110"/>
      <c r="BD45" s="110"/>
      <c r="BE45" s="110"/>
      <c r="BF45" s="110">
        <f>SUM(AT45:BE45)</f>
        <v>0</v>
      </c>
      <c r="BH45" s="110"/>
      <c r="BI45" s="110"/>
      <c r="BJ45" s="110"/>
      <c r="BK45" s="110"/>
      <c r="BL45" s="110"/>
      <c r="BM45" s="110"/>
      <c r="BN45" s="110"/>
      <c r="BO45" s="110"/>
      <c r="BP45" s="110"/>
      <c r="BQ45" s="110"/>
      <c r="BR45" s="110"/>
      <c r="BS45" s="110"/>
      <c r="BT45" s="110">
        <f>SUM(BH45:BS45)</f>
        <v>0</v>
      </c>
      <c r="BV45" s="110"/>
      <c r="BW45" s="110"/>
      <c r="BX45" s="110"/>
      <c r="BY45" s="110"/>
      <c r="BZ45" s="110"/>
      <c r="CA45" s="110"/>
      <c r="CB45" s="110"/>
      <c r="CC45" s="110"/>
      <c r="CD45" s="110"/>
      <c r="CE45" s="110"/>
      <c r="CF45" s="110"/>
      <c r="CG45" s="110"/>
      <c r="CH45" s="110">
        <f>SUM(BV45:CG45)</f>
        <v>0</v>
      </c>
      <c r="CJ45" s="110"/>
      <c r="CK45" s="110"/>
      <c r="CL45" s="110"/>
      <c r="CM45" s="110"/>
      <c r="CN45" s="110"/>
      <c r="CO45" s="110"/>
      <c r="CP45" s="110"/>
      <c r="CQ45" s="110"/>
      <c r="CR45" s="110"/>
      <c r="CS45" s="110"/>
      <c r="CT45" s="110"/>
      <c r="CU45" s="110"/>
      <c r="CV45" s="110">
        <f>SUM(CJ45:CU45)</f>
        <v>0</v>
      </c>
      <c r="CX45" s="110"/>
      <c r="CY45" s="110"/>
      <c r="CZ45" s="110"/>
      <c r="DA45" s="110"/>
      <c r="DB45" s="110"/>
      <c r="DC45" s="110"/>
      <c r="DD45" s="110"/>
      <c r="DE45" s="110"/>
      <c r="DF45" s="110"/>
      <c r="DG45" s="110"/>
      <c r="DH45" s="110"/>
      <c r="DI45" s="110"/>
      <c r="DJ45" s="110">
        <f>SUM(CX45:DI45)</f>
        <v>0</v>
      </c>
      <c r="DL45" s="110"/>
      <c r="DM45" s="110"/>
      <c r="DN45" s="110"/>
      <c r="DO45" s="110"/>
      <c r="DP45" s="110"/>
      <c r="DQ45" s="110"/>
      <c r="DR45" s="110"/>
      <c r="DS45" s="110"/>
      <c r="DT45" s="110"/>
      <c r="DU45" s="110"/>
      <c r="DV45" s="110"/>
      <c r="DW45" s="110"/>
      <c r="DX45" s="110">
        <f>SUM(DL45:DW45)</f>
        <v>0</v>
      </c>
      <c r="DZ45" s="110"/>
      <c r="EA45" s="110"/>
      <c r="EB45" s="110"/>
      <c r="EC45" s="110"/>
      <c r="ED45" s="110"/>
      <c r="EE45" s="110"/>
      <c r="EF45" s="110"/>
      <c r="EG45" s="110"/>
      <c r="EH45" s="110"/>
      <c r="EI45" s="110"/>
      <c r="EJ45" s="110"/>
      <c r="EK45" s="110"/>
      <c r="EL45" s="110">
        <f>SUM(DZ45:EK45)</f>
        <v>0</v>
      </c>
      <c r="EN45" s="110"/>
      <c r="EO45" s="110"/>
      <c r="EP45" s="110"/>
      <c r="EQ45" s="110"/>
      <c r="ER45" s="110"/>
      <c r="ES45" s="110"/>
      <c r="ET45" s="110"/>
      <c r="EU45" s="110"/>
      <c r="EV45" s="110"/>
      <c r="EW45" s="110"/>
      <c r="EX45" s="110"/>
      <c r="EY45" s="110"/>
      <c r="EZ45" s="110">
        <f>SUM(EN45:EY45)</f>
        <v>0</v>
      </c>
      <c r="FB45" s="110"/>
      <c r="FC45" s="110"/>
      <c r="FD45" s="110"/>
      <c r="FE45" s="110"/>
      <c r="FF45" s="110"/>
      <c r="FG45" s="110"/>
      <c r="FH45" s="110"/>
      <c r="FI45" s="110"/>
      <c r="FJ45" s="110"/>
      <c r="FK45" s="110"/>
      <c r="FL45" s="110"/>
      <c r="FM45" s="110"/>
      <c r="FN45" s="110">
        <f>SUM(FB45:FM45)</f>
        <v>0</v>
      </c>
      <c r="FP45" s="110"/>
      <c r="FQ45" s="110"/>
      <c r="FR45" s="110"/>
      <c r="FS45" s="110"/>
      <c r="FT45" s="110"/>
      <c r="FU45" s="110"/>
      <c r="FV45" s="110"/>
      <c r="FW45" s="110"/>
      <c r="FX45" s="110"/>
      <c r="FY45" s="110"/>
      <c r="FZ45" s="110"/>
      <c r="GA45" s="110"/>
      <c r="GB45" s="110">
        <f>SUM(FP45:GA45)</f>
        <v>0</v>
      </c>
    </row>
    <row r="46" spans="2:184" s="108" customFormat="1" x14ac:dyDescent="0.3">
      <c r="B46" s="109" t="s">
        <v>35</v>
      </c>
      <c r="D46" s="110">
        <v>1000</v>
      </c>
      <c r="E46" s="110">
        <v>1000</v>
      </c>
      <c r="F46" s="110">
        <v>1000</v>
      </c>
      <c r="G46" s="110">
        <v>1000</v>
      </c>
      <c r="H46" s="110">
        <v>1000</v>
      </c>
      <c r="I46" s="110">
        <v>1000</v>
      </c>
      <c r="J46" s="110">
        <v>1000</v>
      </c>
      <c r="K46" s="110">
        <v>1000</v>
      </c>
      <c r="L46" s="110">
        <v>1000</v>
      </c>
      <c r="M46" s="110">
        <v>1000</v>
      </c>
      <c r="N46" s="110">
        <v>1000</v>
      </c>
      <c r="O46" s="110">
        <v>1000</v>
      </c>
      <c r="P46" s="110">
        <f>SUM(D46:O46)</f>
        <v>12000</v>
      </c>
      <c r="R46" s="110"/>
      <c r="S46" s="110"/>
      <c r="T46" s="110"/>
      <c r="U46" s="110"/>
      <c r="V46" s="110"/>
      <c r="W46" s="110"/>
      <c r="X46" s="110"/>
      <c r="Y46" s="110"/>
      <c r="Z46" s="110"/>
      <c r="AA46" s="110"/>
      <c r="AB46" s="110"/>
      <c r="AC46" s="110"/>
      <c r="AD46" s="110">
        <f>SUM(R46:AC46)</f>
        <v>0</v>
      </c>
      <c r="AF46" s="110"/>
      <c r="AG46" s="110"/>
      <c r="AH46" s="110"/>
      <c r="AI46" s="110"/>
      <c r="AJ46" s="110"/>
      <c r="AK46" s="110"/>
      <c r="AL46" s="110"/>
      <c r="AM46" s="110"/>
      <c r="AN46" s="110"/>
      <c r="AO46" s="110"/>
      <c r="AP46" s="110"/>
      <c r="AQ46" s="110"/>
      <c r="AR46" s="110">
        <f>SUM(AF46:AQ46)</f>
        <v>0</v>
      </c>
      <c r="AT46" s="110"/>
      <c r="AU46" s="110"/>
      <c r="AV46" s="110"/>
      <c r="AW46" s="110"/>
      <c r="AX46" s="110"/>
      <c r="AY46" s="110"/>
      <c r="AZ46" s="110"/>
      <c r="BA46" s="110"/>
      <c r="BB46" s="110"/>
      <c r="BC46" s="110"/>
      <c r="BD46" s="110"/>
      <c r="BE46" s="110"/>
      <c r="BF46" s="110">
        <f>SUM(AT46:BE46)</f>
        <v>0</v>
      </c>
      <c r="BH46" s="110"/>
      <c r="BI46" s="110"/>
      <c r="BJ46" s="110"/>
      <c r="BK46" s="110"/>
      <c r="BL46" s="110"/>
      <c r="BM46" s="110"/>
      <c r="BN46" s="110"/>
      <c r="BO46" s="110"/>
      <c r="BP46" s="110"/>
      <c r="BQ46" s="110"/>
      <c r="BR46" s="110"/>
      <c r="BS46" s="110"/>
      <c r="BT46" s="110">
        <f>SUM(BH46:BS46)</f>
        <v>0</v>
      </c>
      <c r="BV46" s="110"/>
      <c r="BW46" s="110"/>
      <c r="BX46" s="110"/>
      <c r="BY46" s="110"/>
      <c r="BZ46" s="110"/>
      <c r="CA46" s="110"/>
      <c r="CB46" s="110"/>
      <c r="CC46" s="110"/>
      <c r="CD46" s="110"/>
      <c r="CE46" s="110"/>
      <c r="CF46" s="110"/>
      <c r="CG46" s="110"/>
      <c r="CH46" s="110">
        <f>SUM(BV46:CG46)</f>
        <v>0</v>
      </c>
      <c r="CJ46" s="110"/>
      <c r="CK46" s="110"/>
      <c r="CL46" s="110"/>
      <c r="CM46" s="110"/>
      <c r="CN46" s="110"/>
      <c r="CO46" s="110"/>
      <c r="CP46" s="110"/>
      <c r="CQ46" s="110"/>
      <c r="CR46" s="110"/>
      <c r="CS46" s="110"/>
      <c r="CT46" s="110"/>
      <c r="CU46" s="110"/>
      <c r="CV46" s="110">
        <f>SUM(CJ46:CU46)</f>
        <v>0</v>
      </c>
      <c r="CX46" s="110"/>
      <c r="CY46" s="110"/>
      <c r="CZ46" s="110"/>
      <c r="DA46" s="110"/>
      <c r="DB46" s="110"/>
      <c r="DC46" s="110"/>
      <c r="DD46" s="110"/>
      <c r="DE46" s="110"/>
      <c r="DF46" s="110"/>
      <c r="DG46" s="110"/>
      <c r="DH46" s="110"/>
      <c r="DI46" s="110"/>
      <c r="DJ46" s="110">
        <f>SUM(CX46:DI46)</f>
        <v>0</v>
      </c>
      <c r="DL46" s="110"/>
      <c r="DM46" s="110"/>
      <c r="DN46" s="110"/>
      <c r="DO46" s="110"/>
      <c r="DP46" s="110"/>
      <c r="DQ46" s="110"/>
      <c r="DR46" s="110"/>
      <c r="DS46" s="110"/>
      <c r="DT46" s="110"/>
      <c r="DU46" s="110"/>
      <c r="DV46" s="110"/>
      <c r="DW46" s="110"/>
      <c r="DX46" s="110">
        <f>SUM(DL46:DW46)</f>
        <v>0</v>
      </c>
      <c r="DZ46" s="110"/>
      <c r="EA46" s="110"/>
      <c r="EB46" s="110"/>
      <c r="EC46" s="110"/>
      <c r="ED46" s="110"/>
      <c r="EE46" s="110"/>
      <c r="EF46" s="110"/>
      <c r="EG46" s="110"/>
      <c r="EH46" s="110"/>
      <c r="EI46" s="110"/>
      <c r="EJ46" s="110"/>
      <c r="EK46" s="110"/>
      <c r="EL46" s="110">
        <f>SUM(DZ46:EK46)</f>
        <v>0</v>
      </c>
      <c r="EN46" s="110"/>
      <c r="EO46" s="110"/>
      <c r="EP46" s="110"/>
      <c r="EQ46" s="110"/>
      <c r="ER46" s="110"/>
      <c r="ES46" s="110"/>
      <c r="ET46" s="110"/>
      <c r="EU46" s="110"/>
      <c r="EV46" s="110"/>
      <c r="EW46" s="110"/>
      <c r="EX46" s="110"/>
      <c r="EY46" s="110"/>
      <c r="EZ46" s="110">
        <f>SUM(EN46:EY46)</f>
        <v>0</v>
      </c>
      <c r="FB46" s="110"/>
      <c r="FC46" s="110"/>
      <c r="FD46" s="110"/>
      <c r="FE46" s="110"/>
      <c r="FF46" s="110"/>
      <c r="FG46" s="110"/>
      <c r="FH46" s="110"/>
      <c r="FI46" s="110"/>
      <c r="FJ46" s="110"/>
      <c r="FK46" s="110"/>
      <c r="FL46" s="110"/>
      <c r="FM46" s="110"/>
      <c r="FN46" s="110">
        <f>SUM(FB46:FM46)</f>
        <v>0</v>
      </c>
      <c r="FP46" s="110"/>
      <c r="FQ46" s="110"/>
      <c r="FR46" s="110"/>
      <c r="FS46" s="110"/>
      <c r="FT46" s="110"/>
      <c r="FU46" s="110"/>
      <c r="FV46" s="110"/>
      <c r="FW46" s="110"/>
      <c r="FX46" s="110"/>
      <c r="FY46" s="110"/>
      <c r="FZ46" s="110"/>
      <c r="GA46" s="110"/>
      <c r="GB46" s="110">
        <f>SUM(FP46:GA46)</f>
        <v>0</v>
      </c>
    </row>
    <row r="47" spans="2:184" s="108" customFormat="1" x14ac:dyDescent="0.3">
      <c r="B47" s="109" t="s">
        <v>36</v>
      </c>
      <c r="D47" s="110">
        <v>1000</v>
      </c>
      <c r="E47" s="110">
        <v>1000</v>
      </c>
      <c r="F47" s="110">
        <v>1000</v>
      </c>
      <c r="G47" s="110">
        <v>1000</v>
      </c>
      <c r="H47" s="110">
        <v>1000</v>
      </c>
      <c r="I47" s="110">
        <v>1000</v>
      </c>
      <c r="J47" s="110">
        <v>1000</v>
      </c>
      <c r="K47" s="110">
        <v>1000</v>
      </c>
      <c r="L47" s="110">
        <v>1000</v>
      </c>
      <c r="M47" s="110">
        <v>1000</v>
      </c>
      <c r="N47" s="110">
        <v>1000</v>
      </c>
      <c r="O47" s="110">
        <v>1000</v>
      </c>
      <c r="P47" s="110">
        <f>SUM(D47:O47)</f>
        <v>12000</v>
      </c>
      <c r="R47" s="110"/>
      <c r="S47" s="110"/>
      <c r="T47" s="110"/>
      <c r="U47" s="110"/>
      <c r="V47" s="110"/>
      <c r="W47" s="110"/>
      <c r="X47" s="110"/>
      <c r="Y47" s="110"/>
      <c r="Z47" s="110"/>
      <c r="AA47" s="110"/>
      <c r="AB47" s="110"/>
      <c r="AC47" s="110"/>
      <c r="AD47" s="110">
        <f>SUM(R47:AC47)</f>
        <v>0</v>
      </c>
      <c r="AF47" s="110"/>
      <c r="AG47" s="110"/>
      <c r="AH47" s="110"/>
      <c r="AI47" s="110"/>
      <c r="AJ47" s="110"/>
      <c r="AK47" s="110"/>
      <c r="AL47" s="110"/>
      <c r="AM47" s="110"/>
      <c r="AN47" s="110"/>
      <c r="AO47" s="110"/>
      <c r="AP47" s="110"/>
      <c r="AQ47" s="110"/>
      <c r="AR47" s="110">
        <f>SUM(AF47:AQ47)</f>
        <v>0</v>
      </c>
      <c r="AT47" s="110"/>
      <c r="AU47" s="110"/>
      <c r="AV47" s="110"/>
      <c r="AW47" s="110"/>
      <c r="AX47" s="110"/>
      <c r="AY47" s="110"/>
      <c r="AZ47" s="110"/>
      <c r="BA47" s="110"/>
      <c r="BB47" s="110"/>
      <c r="BC47" s="110"/>
      <c r="BD47" s="110"/>
      <c r="BE47" s="110"/>
      <c r="BF47" s="110">
        <f>SUM(AT47:BE47)</f>
        <v>0</v>
      </c>
      <c r="BH47" s="110"/>
      <c r="BI47" s="110"/>
      <c r="BJ47" s="110"/>
      <c r="BK47" s="110"/>
      <c r="BL47" s="110"/>
      <c r="BM47" s="110"/>
      <c r="BN47" s="110"/>
      <c r="BO47" s="110"/>
      <c r="BP47" s="110"/>
      <c r="BQ47" s="110"/>
      <c r="BR47" s="110"/>
      <c r="BS47" s="110"/>
      <c r="BT47" s="110">
        <f>SUM(BH47:BS47)</f>
        <v>0</v>
      </c>
      <c r="BV47" s="110"/>
      <c r="BW47" s="110"/>
      <c r="BX47" s="110"/>
      <c r="BY47" s="110"/>
      <c r="BZ47" s="110"/>
      <c r="CA47" s="110"/>
      <c r="CB47" s="110"/>
      <c r="CC47" s="110"/>
      <c r="CD47" s="110"/>
      <c r="CE47" s="110"/>
      <c r="CF47" s="110"/>
      <c r="CG47" s="110"/>
      <c r="CH47" s="110">
        <f>SUM(BV47:CG47)</f>
        <v>0</v>
      </c>
      <c r="CJ47" s="110"/>
      <c r="CK47" s="110"/>
      <c r="CL47" s="110"/>
      <c r="CM47" s="110"/>
      <c r="CN47" s="110"/>
      <c r="CO47" s="110"/>
      <c r="CP47" s="110"/>
      <c r="CQ47" s="110"/>
      <c r="CR47" s="110"/>
      <c r="CS47" s="110"/>
      <c r="CT47" s="110"/>
      <c r="CU47" s="110"/>
      <c r="CV47" s="110">
        <f>SUM(CJ47:CU47)</f>
        <v>0</v>
      </c>
      <c r="CX47" s="110"/>
      <c r="CY47" s="110"/>
      <c r="CZ47" s="110"/>
      <c r="DA47" s="110"/>
      <c r="DB47" s="110"/>
      <c r="DC47" s="110"/>
      <c r="DD47" s="110"/>
      <c r="DE47" s="110"/>
      <c r="DF47" s="110"/>
      <c r="DG47" s="110"/>
      <c r="DH47" s="110"/>
      <c r="DI47" s="110"/>
      <c r="DJ47" s="110">
        <f>SUM(CX47:DI47)</f>
        <v>0</v>
      </c>
      <c r="DL47" s="110"/>
      <c r="DM47" s="110"/>
      <c r="DN47" s="110"/>
      <c r="DO47" s="110"/>
      <c r="DP47" s="110"/>
      <c r="DQ47" s="110"/>
      <c r="DR47" s="110"/>
      <c r="DS47" s="110"/>
      <c r="DT47" s="110"/>
      <c r="DU47" s="110"/>
      <c r="DV47" s="110"/>
      <c r="DW47" s="110"/>
      <c r="DX47" s="110">
        <f>SUM(DL47:DW47)</f>
        <v>0</v>
      </c>
      <c r="DZ47" s="110"/>
      <c r="EA47" s="110"/>
      <c r="EB47" s="110"/>
      <c r="EC47" s="110"/>
      <c r="ED47" s="110"/>
      <c r="EE47" s="110"/>
      <c r="EF47" s="110"/>
      <c r="EG47" s="110"/>
      <c r="EH47" s="110"/>
      <c r="EI47" s="110"/>
      <c r="EJ47" s="110"/>
      <c r="EK47" s="110"/>
      <c r="EL47" s="110">
        <f>SUM(DZ47:EK47)</f>
        <v>0</v>
      </c>
      <c r="EN47" s="110"/>
      <c r="EO47" s="110"/>
      <c r="EP47" s="110"/>
      <c r="EQ47" s="110"/>
      <c r="ER47" s="110"/>
      <c r="ES47" s="110"/>
      <c r="ET47" s="110"/>
      <c r="EU47" s="110"/>
      <c r="EV47" s="110"/>
      <c r="EW47" s="110"/>
      <c r="EX47" s="110"/>
      <c r="EY47" s="110"/>
      <c r="EZ47" s="110">
        <f>SUM(EN47:EY47)</f>
        <v>0</v>
      </c>
      <c r="FB47" s="110"/>
      <c r="FC47" s="110"/>
      <c r="FD47" s="110"/>
      <c r="FE47" s="110"/>
      <c r="FF47" s="110"/>
      <c r="FG47" s="110"/>
      <c r="FH47" s="110"/>
      <c r="FI47" s="110"/>
      <c r="FJ47" s="110"/>
      <c r="FK47" s="110"/>
      <c r="FL47" s="110"/>
      <c r="FM47" s="110"/>
      <c r="FN47" s="110">
        <f>SUM(FB47:FM47)</f>
        <v>0</v>
      </c>
      <c r="FP47" s="110"/>
      <c r="FQ47" s="110"/>
      <c r="FR47" s="110"/>
      <c r="FS47" s="110"/>
      <c r="FT47" s="110"/>
      <c r="FU47" s="110"/>
      <c r="FV47" s="110"/>
      <c r="FW47" s="110"/>
      <c r="FX47" s="110"/>
      <c r="FY47" s="110"/>
      <c r="FZ47" s="110"/>
      <c r="GA47" s="110"/>
      <c r="GB47" s="110">
        <f>SUM(FP47:GA47)</f>
        <v>0</v>
      </c>
    </row>
    <row r="48" spans="2:184" s="108" customFormat="1" x14ac:dyDescent="0.3">
      <c r="B48" s="109" t="s">
        <v>85</v>
      </c>
      <c r="D48" s="110"/>
      <c r="E48" s="110">
        <v>8000</v>
      </c>
      <c r="F48" s="110">
        <v>10000</v>
      </c>
      <c r="G48" s="110">
        <v>20000</v>
      </c>
      <c r="H48" s="110"/>
      <c r="I48" s="110">
        <v>5000</v>
      </c>
      <c r="J48" s="110">
        <v>10000</v>
      </c>
      <c r="K48" s="110">
        <v>20000</v>
      </c>
      <c r="L48" s="110"/>
      <c r="M48" s="110">
        <v>5000</v>
      </c>
      <c r="N48" s="110">
        <v>10000</v>
      </c>
      <c r="O48" s="110">
        <v>20000</v>
      </c>
      <c r="P48" s="110">
        <f>SUM(D48:O48)</f>
        <v>108000</v>
      </c>
      <c r="R48" s="110"/>
      <c r="S48" s="110"/>
      <c r="T48" s="110"/>
      <c r="U48" s="110"/>
      <c r="V48" s="110"/>
      <c r="W48" s="110"/>
      <c r="X48" s="110"/>
      <c r="Y48" s="110"/>
      <c r="Z48" s="110"/>
      <c r="AA48" s="110"/>
      <c r="AB48" s="110"/>
      <c r="AC48" s="110"/>
      <c r="AD48" s="110">
        <f>SUM(R48:AC48)</f>
        <v>0</v>
      </c>
      <c r="AF48" s="110"/>
      <c r="AG48" s="110"/>
      <c r="AH48" s="110"/>
      <c r="AI48" s="110"/>
      <c r="AJ48" s="110"/>
      <c r="AK48" s="110"/>
      <c r="AL48" s="110"/>
      <c r="AM48" s="110"/>
      <c r="AN48" s="110"/>
      <c r="AO48" s="110"/>
      <c r="AP48" s="110"/>
      <c r="AQ48" s="110"/>
      <c r="AR48" s="110">
        <f>SUM(AF48:AQ48)</f>
        <v>0</v>
      </c>
      <c r="AT48" s="110"/>
      <c r="AU48" s="110"/>
      <c r="AV48" s="110"/>
      <c r="AW48" s="110"/>
      <c r="AX48" s="110"/>
      <c r="AY48" s="110"/>
      <c r="AZ48" s="110"/>
      <c r="BA48" s="110"/>
      <c r="BB48" s="110"/>
      <c r="BC48" s="110"/>
      <c r="BD48" s="110"/>
      <c r="BE48" s="110"/>
      <c r="BF48" s="110">
        <f>SUM(AT48:BE48)</f>
        <v>0</v>
      </c>
      <c r="BH48" s="110"/>
      <c r="BI48" s="110"/>
      <c r="BJ48" s="110"/>
      <c r="BK48" s="110"/>
      <c r="BL48" s="110"/>
      <c r="BM48" s="110"/>
      <c r="BN48" s="110"/>
      <c r="BO48" s="110"/>
      <c r="BP48" s="110"/>
      <c r="BQ48" s="110"/>
      <c r="BR48" s="110"/>
      <c r="BS48" s="110"/>
      <c r="BT48" s="110">
        <f>SUM(BH48:BS48)</f>
        <v>0</v>
      </c>
      <c r="BV48" s="110"/>
      <c r="BW48" s="110"/>
      <c r="BX48" s="110"/>
      <c r="BY48" s="110"/>
      <c r="BZ48" s="110"/>
      <c r="CA48" s="110"/>
      <c r="CB48" s="110"/>
      <c r="CC48" s="110"/>
      <c r="CD48" s="110"/>
      <c r="CE48" s="110"/>
      <c r="CF48" s="110"/>
      <c r="CG48" s="110"/>
      <c r="CH48" s="110">
        <f>SUM(BV48:CG48)</f>
        <v>0</v>
      </c>
      <c r="CJ48" s="110"/>
      <c r="CK48" s="110"/>
      <c r="CL48" s="110"/>
      <c r="CM48" s="110"/>
      <c r="CN48" s="110"/>
      <c r="CO48" s="110"/>
      <c r="CP48" s="110"/>
      <c r="CQ48" s="110"/>
      <c r="CR48" s="110"/>
      <c r="CS48" s="110"/>
      <c r="CT48" s="110"/>
      <c r="CU48" s="110"/>
      <c r="CV48" s="110">
        <f>SUM(CJ48:CU48)</f>
        <v>0</v>
      </c>
      <c r="CX48" s="110"/>
      <c r="CY48" s="110"/>
      <c r="CZ48" s="110"/>
      <c r="DA48" s="110"/>
      <c r="DB48" s="110"/>
      <c r="DC48" s="110"/>
      <c r="DD48" s="110"/>
      <c r="DE48" s="110"/>
      <c r="DF48" s="110"/>
      <c r="DG48" s="110"/>
      <c r="DH48" s="110"/>
      <c r="DI48" s="110"/>
      <c r="DJ48" s="110">
        <f>SUM(CX48:DI48)</f>
        <v>0</v>
      </c>
      <c r="DL48" s="110"/>
      <c r="DM48" s="110"/>
      <c r="DN48" s="110"/>
      <c r="DO48" s="110"/>
      <c r="DP48" s="110"/>
      <c r="DQ48" s="110"/>
      <c r="DR48" s="110"/>
      <c r="DS48" s="110"/>
      <c r="DT48" s="110"/>
      <c r="DU48" s="110"/>
      <c r="DV48" s="110"/>
      <c r="DW48" s="110"/>
      <c r="DX48" s="110">
        <f>SUM(DL48:DW48)</f>
        <v>0</v>
      </c>
      <c r="DZ48" s="110"/>
      <c r="EA48" s="110"/>
      <c r="EB48" s="110"/>
      <c r="EC48" s="110"/>
      <c r="ED48" s="110"/>
      <c r="EE48" s="110"/>
      <c r="EF48" s="110"/>
      <c r="EG48" s="110"/>
      <c r="EH48" s="110"/>
      <c r="EI48" s="110"/>
      <c r="EJ48" s="110"/>
      <c r="EK48" s="110"/>
      <c r="EL48" s="110">
        <f>SUM(DZ48:EK48)</f>
        <v>0</v>
      </c>
      <c r="EN48" s="110"/>
      <c r="EO48" s="110"/>
      <c r="EP48" s="110"/>
      <c r="EQ48" s="110"/>
      <c r="ER48" s="110"/>
      <c r="ES48" s="110"/>
      <c r="ET48" s="110"/>
      <c r="EU48" s="110"/>
      <c r="EV48" s="110"/>
      <c r="EW48" s="110"/>
      <c r="EX48" s="110"/>
      <c r="EY48" s="110"/>
      <c r="EZ48" s="110">
        <f>SUM(EN48:EY48)</f>
        <v>0</v>
      </c>
      <c r="FB48" s="110"/>
      <c r="FC48" s="110"/>
      <c r="FD48" s="110"/>
      <c r="FE48" s="110"/>
      <c r="FF48" s="110"/>
      <c r="FG48" s="110"/>
      <c r="FH48" s="110"/>
      <c r="FI48" s="110"/>
      <c r="FJ48" s="110"/>
      <c r="FK48" s="110"/>
      <c r="FL48" s="110"/>
      <c r="FM48" s="110"/>
      <c r="FN48" s="110">
        <f>SUM(FB48:FM48)</f>
        <v>0</v>
      </c>
      <c r="FP48" s="110"/>
      <c r="FQ48" s="110"/>
      <c r="FR48" s="110"/>
      <c r="FS48" s="110"/>
      <c r="FT48" s="110"/>
      <c r="FU48" s="110"/>
      <c r="FV48" s="110"/>
      <c r="FW48" s="110"/>
      <c r="FX48" s="110"/>
      <c r="FY48" s="110"/>
      <c r="FZ48" s="110"/>
      <c r="GA48" s="110"/>
      <c r="GB48" s="110">
        <f>SUM(FP48:GA48)</f>
        <v>0</v>
      </c>
    </row>
    <row r="49" spans="2:184" s="108" customFormat="1" x14ac:dyDescent="0.3">
      <c r="B49" s="109" t="s">
        <v>86</v>
      </c>
      <c r="D49" s="110"/>
      <c r="E49" s="110"/>
      <c r="F49" s="110"/>
      <c r="G49" s="110"/>
      <c r="H49" s="110"/>
      <c r="I49" s="110"/>
      <c r="J49" s="110"/>
      <c r="K49" s="110"/>
      <c r="L49" s="110"/>
      <c r="M49" s="110"/>
      <c r="N49" s="110"/>
      <c r="O49" s="110"/>
      <c r="P49" s="110"/>
      <c r="R49" s="110"/>
      <c r="S49" s="110"/>
      <c r="T49" s="110"/>
      <c r="U49" s="110"/>
      <c r="V49" s="110"/>
      <c r="W49" s="110"/>
      <c r="X49" s="110"/>
      <c r="Y49" s="110"/>
      <c r="Z49" s="110"/>
      <c r="AA49" s="110"/>
      <c r="AB49" s="110"/>
      <c r="AC49" s="110"/>
      <c r="AD49" s="110"/>
      <c r="AF49" s="110"/>
      <c r="AG49" s="110"/>
      <c r="AH49" s="110"/>
      <c r="AI49" s="110"/>
      <c r="AJ49" s="110"/>
      <c r="AK49" s="110"/>
      <c r="AL49" s="110"/>
      <c r="AM49" s="110"/>
      <c r="AN49" s="110"/>
      <c r="AO49" s="110"/>
      <c r="AP49" s="110"/>
      <c r="AQ49" s="110"/>
      <c r="AR49" s="110"/>
      <c r="AT49" s="110"/>
      <c r="AU49" s="110"/>
      <c r="AV49" s="110"/>
      <c r="AW49" s="110"/>
      <c r="AX49" s="110"/>
      <c r="AY49" s="110"/>
      <c r="AZ49" s="110"/>
      <c r="BA49" s="110"/>
      <c r="BB49" s="110"/>
      <c r="BC49" s="110"/>
      <c r="BD49" s="110"/>
      <c r="BE49" s="110"/>
      <c r="BF49" s="110"/>
      <c r="BH49" s="110"/>
      <c r="BI49" s="110"/>
      <c r="BJ49" s="110"/>
      <c r="BK49" s="110"/>
      <c r="BL49" s="110"/>
      <c r="BM49" s="110"/>
      <c r="BN49" s="110"/>
      <c r="BO49" s="110"/>
      <c r="BP49" s="110"/>
      <c r="BQ49" s="110"/>
      <c r="BR49" s="110"/>
      <c r="BS49" s="110"/>
      <c r="BT49" s="110"/>
      <c r="BV49" s="110"/>
      <c r="BW49" s="110"/>
      <c r="BX49" s="110"/>
      <c r="BY49" s="110"/>
      <c r="BZ49" s="110"/>
      <c r="CA49" s="110"/>
      <c r="CB49" s="110"/>
      <c r="CC49" s="110"/>
      <c r="CD49" s="110"/>
      <c r="CE49" s="110"/>
      <c r="CF49" s="110"/>
      <c r="CG49" s="110"/>
      <c r="CH49" s="110"/>
      <c r="CJ49" s="110"/>
      <c r="CK49" s="110"/>
      <c r="CL49" s="110"/>
      <c r="CM49" s="110"/>
      <c r="CN49" s="110"/>
      <c r="CO49" s="110"/>
      <c r="CP49" s="110"/>
      <c r="CQ49" s="110"/>
      <c r="CR49" s="110"/>
      <c r="CS49" s="110"/>
      <c r="CT49" s="110"/>
      <c r="CU49" s="110"/>
      <c r="CV49" s="110"/>
      <c r="CX49" s="110"/>
      <c r="CY49" s="110"/>
      <c r="CZ49" s="110"/>
      <c r="DA49" s="110"/>
      <c r="DB49" s="110"/>
      <c r="DC49" s="110"/>
      <c r="DD49" s="110"/>
      <c r="DE49" s="110"/>
      <c r="DF49" s="110"/>
      <c r="DG49" s="110"/>
      <c r="DH49" s="110"/>
      <c r="DI49" s="110"/>
      <c r="DJ49" s="110"/>
      <c r="DL49" s="110"/>
      <c r="DM49" s="110"/>
      <c r="DN49" s="110"/>
      <c r="DO49" s="110"/>
      <c r="DP49" s="110"/>
      <c r="DQ49" s="110"/>
      <c r="DR49" s="110"/>
      <c r="DS49" s="110"/>
      <c r="DT49" s="110"/>
      <c r="DU49" s="110"/>
      <c r="DV49" s="110"/>
      <c r="DW49" s="110"/>
      <c r="DX49" s="110"/>
      <c r="DZ49" s="110"/>
      <c r="EA49" s="110"/>
      <c r="EB49" s="110"/>
      <c r="EC49" s="110"/>
      <c r="ED49" s="110"/>
      <c r="EE49" s="110"/>
      <c r="EF49" s="110"/>
      <c r="EG49" s="110"/>
      <c r="EH49" s="110"/>
      <c r="EI49" s="110"/>
      <c r="EJ49" s="110"/>
      <c r="EK49" s="110"/>
      <c r="EL49" s="110"/>
      <c r="EN49" s="110"/>
      <c r="EO49" s="110"/>
      <c r="EP49" s="110"/>
      <c r="EQ49" s="110"/>
      <c r="ER49" s="110"/>
      <c r="ES49" s="110"/>
      <c r="ET49" s="110"/>
      <c r="EU49" s="110"/>
      <c r="EV49" s="110"/>
      <c r="EW49" s="110"/>
      <c r="EX49" s="110"/>
      <c r="EY49" s="110"/>
      <c r="EZ49" s="110"/>
      <c r="FB49" s="110"/>
      <c r="FC49" s="110"/>
      <c r="FD49" s="110"/>
      <c r="FE49" s="110"/>
      <c r="FF49" s="110"/>
      <c r="FG49" s="110"/>
      <c r="FH49" s="110"/>
      <c r="FI49" s="110"/>
      <c r="FJ49" s="110"/>
      <c r="FK49" s="110"/>
      <c r="FL49" s="110"/>
      <c r="FM49" s="110"/>
      <c r="FN49" s="110"/>
      <c r="FP49" s="110"/>
      <c r="FQ49" s="110"/>
      <c r="FR49" s="110"/>
      <c r="FS49" s="110"/>
      <c r="FT49" s="110"/>
      <c r="FU49" s="110"/>
      <c r="FV49" s="110"/>
      <c r="FW49" s="110"/>
      <c r="FX49" s="110"/>
      <c r="FY49" s="110"/>
      <c r="FZ49" s="110"/>
      <c r="GA49" s="110"/>
      <c r="GB49" s="110"/>
    </row>
    <row r="50" spans="2:184" s="108" customFormat="1" x14ac:dyDescent="0.3">
      <c r="B50" s="109" t="s">
        <v>87</v>
      </c>
      <c r="D50" s="110"/>
      <c r="E50" s="110"/>
      <c r="F50" s="110"/>
      <c r="G50" s="110"/>
      <c r="H50" s="110"/>
      <c r="I50" s="110"/>
      <c r="J50" s="110"/>
      <c r="K50" s="110"/>
      <c r="L50" s="110"/>
      <c r="M50" s="110"/>
      <c r="N50" s="110"/>
      <c r="O50" s="110"/>
      <c r="P50" s="110"/>
      <c r="R50" s="110"/>
      <c r="S50" s="110"/>
      <c r="T50" s="110"/>
      <c r="U50" s="110"/>
      <c r="V50" s="110"/>
      <c r="W50" s="110"/>
      <c r="X50" s="110"/>
      <c r="Y50" s="110"/>
      <c r="Z50" s="110"/>
      <c r="AA50" s="110"/>
      <c r="AB50" s="110"/>
      <c r="AC50" s="110"/>
      <c r="AD50" s="110"/>
      <c r="AF50" s="110"/>
      <c r="AG50" s="110"/>
      <c r="AH50" s="110"/>
      <c r="AI50" s="110"/>
      <c r="AJ50" s="110"/>
      <c r="AK50" s="110"/>
      <c r="AL50" s="110"/>
      <c r="AM50" s="110"/>
      <c r="AN50" s="110"/>
      <c r="AO50" s="110"/>
      <c r="AP50" s="110"/>
      <c r="AQ50" s="110"/>
      <c r="AR50" s="110"/>
      <c r="AT50" s="110"/>
      <c r="AU50" s="110"/>
      <c r="AV50" s="110"/>
      <c r="AW50" s="110"/>
      <c r="AX50" s="110"/>
      <c r="AY50" s="110"/>
      <c r="AZ50" s="110"/>
      <c r="BA50" s="110"/>
      <c r="BB50" s="110"/>
      <c r="BC50" s="110"/>
      <c r="BD50" s="110"/>
      <c r="BE50" s="110"/>
      <c r="BF50" s="110"/>
      <c r="BH50" s="110"/>
      <c r="BI50" s="110"/>
      <c r="BJ50" s="110"/>
      <c r="BK50" s="110"/>
      <c r="BL50" s="110"/>
      <c r="BM50" s="110"/>
      <c r="BN50" s="110"/>
      <c r="BO50" s="110"/>
      <c r="BP50" s="110"/>
      <c r="BQ50" s="110"/>
      <c r="BR50" s="110"/>
      <c r="BS50" s="110"/>
      <c r="BT50" s="110"/>
      <c r="BV50" s="110"/>
      <c r="BW50" s="110"/>
      <c r="BX50" s="110"/>
      <c r="BY50" s="110"/>
      <c r="BZ50" s="110"/>
      <c r="CA50" s="110"/>
      <c r="CB50" s="110"/>
      <c r="CC50" s="110"/>
      <c r="CD50" s="110"/>
      <c r="CE50" s="110"/>
      <c r="CF50" s="110"/>
      <c r="CG50" s="110"/>
      <c r="CH50" s="110"/>
      <c r="CJ50" s="110"/>
      <c r="CK50" s="110"/>
      <c r="CL50" s="110"/>
      <c r="CM50" s="110"/>
      <c r="CN50" s="110"/>
      <c r="CO50" s="110"/>
      <c r="CP50" s="110"/>
      <c r="CQ50" s="110"/>
      <c r="CR50" s="110"/>
      <c r="CS50" s="110"/>
      <c r="CT50" s="110"/>
      <c r="CU50" s="110"/>
      <c r="CV50" s="110"/>
      <c r="CX50" s="110"/>
      <c r="CY50" s="110"/>
      <c r="CZ50" s="110"/>
      <c r="DA50" s="110"/>
      <c r="DB50" s="110"/>
      <c r="DC50" s="110"/>
      <c r="DD50" s="110"/>
      <c r="DE50" s="110"/>
      <c r="DF50" s="110"/>
      <c r="DG50" s="110"/>
      <c r="DH50" s="110"/>
      <c r="DI50" s="110"/>
      <c r="DJ50" s="110"/>
      <c r="DL50" s="110"/>
      <c r="DM50" s="110"/>
      <c r="DN50" s="110"/>
      <c r="DO50" s="110"/>
      <c r="DP50" s="110"/>
      <c r="DQ50" s="110"/>
      <c r="DR50" s="110"/>
      <c r="DS50" s="110"/>
      <c r="DT50" s="110"/>
      <c r="DU50" s="110"/>
      <c r="DV50" s="110"/>
      <c r="DW50" s="110"/>
      <c r="DX50" s="110"/>
      <c r="DZ50" s="110"/>
      <c r="EA50" s="110"/>
      <c r="EB50" s="110"/>
      <c r="EC50" s="110"/>
      <c r="ED50" s="110"/>
      <c r="EE50" s="110"/>
      <c r="EF50" s="110"/>
      <c r="EG50" s="110"/>
      <c r="EH50" s="110"/>
      <c r="EI50" s="110"/>
      <c r="EJ50" s="110"/>
      <c r="EK50" s="110"/>
      <c r="EL50" s="110"/>
      <c r="EN50" s="110"/>
      <c r="EO50" s="110"/>
      <c r="EP50" s="110"/>
      <c r="EQ50" s="110"/>
      <c r="ER50" s="110"/>
      <c r="ES50" s="110"/>
      <c r="ET50" s="110"/>
      <c r="EU50" s="110"/>
      <c r="EV50" s="110"/>
      <c r="EW50" s="110"/>
      <c r="EX50" s="110"/>
      <c r="EY50" s="110"/>
      <c r="EZ50" s="110"/>
      <c r="FB50" s="110"/>
      <c r="FC50" s="110"/>
      <c r="FD50" s="110"/>
      <c r="FE50" s="110"/>
      <c r="FF50" s="110"/>
      <c r="FG50" s="110"/>
      <c r="FH50" s="110"/>
      <c r="FI50" s="110"/>
      <c r="FJ50" s="110"/>
      <c r="FK50" s="110"/>
      <c r="FL50" s="110"/>
      <c r="FM50" s="110"/>
      <c r="FN50" s="110"/>
      <c r="FP50" s="110"/>
      <c r="FQ50" s="110"/>
      <c r="FR50" s="110"/>
      <c r="FS50" s="110"/>
      <c r="FT50" s="110"/>
      <c r="FU50" s="110"/>
      <c r="FV50" s="110"/>
      <c r="FW50" s="110"/>
      <c r="FX50" s="110"/>
      <c r="FY50" s="110"/>
      <c r="FZ50" s="110"/>
      <c r="GA50" s="110"/>
      <c r="GB50" s="110"/>
    </row>
    <row r="51" spans="2:184" s="108" customFormat="1" x14ac:dyDescent="0.3">
      <c r="B51" s="109" t="s">
        <v>88</v>
      </c>
      <c r="D51" s="110"/>
      <c r="E51" s="110"/>
      <c r="F51" s="110"/>
      <c r="G51" s="110"/>
      <c r="H51" s="110"/>
      <c r="I51" s="110"/>
      <c r="J51" s="110"/>
      <c r="K51" s="110"/>
      <c r="L51" s="110"/>
      <c r="M51" s="110"/>
      <c r="N51" s="110"/>
      <c r="O51" s="110"/>
      <c r="P51" s="110"/>
      <c r="R51" s="110"/>
      <c r="S51" s="110"/>
      <c r="T51" s="110"/>
      <c r="U51" s="110"/>
      <c r="V51" s="110"/>
      <c r="W51" s="110"/>
      <c r="X51" s="110"/>
      <c r="Y51" s="110"/>
      <c r="Z51" s="110"/>
      <c r="AA51" s="110"/>
      <c r="AB51" s="110"/>
      <c r="AC51" s="110"/>
      <c r="AD51" s="110"/>
      <c r="AF51" s="110"/>
      <c r="AG51" s="110"/>
      <c r="AH51" s="110"/>
      <c r="AI51" s="110"/>
      <c r="AJ51" s="110"/>
      <c r="AK51" s="110"/>
      <c r="AL51" s="110"/>
      <c r="AM51" s="110"/>
      <c r="AN51" s="110"/>
      <c r="AO51" s="110"/>
      <c r="AP51" s="110"/>
      <c r="AQ51" s="110"/>
      <c r="AR51" s="110"/>
      <c r="AT51" s="110"/>
      <c r="AU51" s="110"/>
      <c r="AV51" s="110"/>
      <c r="AW51" s="110"/>
      <c r="AX51" s="110"/>
      <c r="AY51" s="110"/>
      <c r="AZ51" s="110"/>
      <c r="BA51" s="110"/>
      <c r="BB51" s="110"/>
      <c r="BC51" s="110"/>
      <c r="BD51" s="110"/>
      <c r="BE51" s="110"/>
      <c r="BF51" s="110"/>
      <c r="BH51" s="110"/>
      <c r="BI51" s="110"/>
      <c r="BJ51" s="110"/>
      <c r="BK51" s="110"/>
      <c r="BL51" s="110"/>
      <c r="BM51" s="110"/>
      <c r="BN51" s="110"/>
      <c r="BO51" s="110"/>
      <c r="BP51" s="110"/>
      <c r="BQ51" s="110"/>
      <c r="BR51" s="110"/>
      <c r="BS51" s="110"/>
      <c r="BT51" s="110"/>
      <c r="BV51" s="110"/>
      <c r="BW51" s="110"/>
      <c r="BX51" s="110"/>
      <c r="BY51" s="110"/>
      <c r="BZ51" s="110"/>
      <c r="CA51" s="110"/>
      <c r="CB51" s="110"/>
      <c r="CC51" s="110"/>
      <c r="CD51" s="110"/>
      <c r="CE51" s="110"/>
      <c r="CF51" s="110"/>
      <c r="CG51" s="110"/>
      <c r="CH51" s="110"/>
      <c r="CJ51" s="110"/>
      <c r="CK51" s="110"/>
      <c r="CL51" s="110"/>
      <c r="CM51" s="110"/>
      <c r="CN51" s="110"/>
      <c r="CO51" s="110"/>
      <c r="CP51" s="110"/>
      <c r="CQ51" s="110"/>
      <c r="CR51" s="110"/>
      <c r="CS51" s="110"/>
      <c r="CT51" s="110"/>
      <c r="CU51" s="110"/>
      <c r="CV51" s="110"/>
      <c r="CX51" s="110"/>
      <c r="CY51" s="110"/>
      <c r="CZ51" s="110"/>
      <c r="DA51" s="110"/>
      <c r="DB51" s="110"/>
      <c r="DC51" s="110"/>
      <c r="DD51" s="110"/>
      <c r="DE51" s="110"/>
      <c r="DF51" s="110"/>
      <c r="DG51" s="110"/>
      <c r="DH51" s="110"/>
      <c r="DI51" s="110"/>
      <c r="DJ51" s="110"/>
      <c r="DL51" s="110"/>
      <c r="DM51" s="110"/>
      <c r="DN51" s="110"/>
      <c r="DO51" s="110"/>
      <c r="DP51" s="110"/>
      <c r="DQ51" s="110"/>
      <c r="DR51" s="110"/>
      <c r="DS51" s="110"/>
      <c r="DT51" s="110"/>
      <c r="DU51" s="110"/>
      <c r="DV51" s="110"/>
      <c r="DW51" s="110"/>
      <c r="DX51" s="110"/>
      <c r="DZ51" s="110"/>
      <c r="EA51" s="110"/>
      <c r="EB51" s="110"/>
      <c r="EC51" s="110"/>
      <c r="ED51" s="110"/>
      <c r="EE51" s="110"/>
      <c r="EF51" s="110"/>
      <c r="EG51" s="110"/>
      <c r="EH51" s="110"/>
      <c r="EI51" s="110"/>
      <c r="EJ51" s="110"/>
      <c r="EK51" s="110"/>
      <c r="EL51" s="110"/>
      <c r="EN51" s="110"/>
      <c r="EO51" s="110"/>
      <c r="EP51" s="110"/>
      <c r="EQ51" s="110"/>
      <c r="ER51" s="110"/>
      <c r="ES51" s="110"/>
      <c r="ET51" s="110"/>
      <c r="EU51" s="110"/>
      <c r="EV51" s="110"/>
      <c r="EW51" s="110"/>
      <c r="EX51" s="110"/>
      <c r="EY51" s="110"/>
      <c r="EZ51" s="110"/>
      <c r="FB51" s="110"/>
      <c r="FC51" s="110"/>
      <c r="FD51" s="110"/>
      <c r="FE51" s="110"/>
      <c r="FF51" s="110"/>
      <c r="FG51" s="110"/>
      <c r="FH51" s="110"/>
      <c r="FI51" s="110"/>
      <c r="FJ51" s="110"/>
      <c r="FK51" s="110"/>
      <c r="FL51" s="110"/>
      <c r="FM51" s="110"/>
      <c r="FN51" s="110"/>
      <c r="FP51" s="110"/>
      <c r="FQ51" s="110"/>
      <c r="FR51" s="110"/>
      <c r="FS51" s="110"/>
      <c r="FT51" s="110"/>
      <c r="FU51" s="110"/>
      <c r="FV51" s="110"/>
      <c r="FW51" s="110"/>
      <c r="FX51" s="110"/>
      <c r="FY51" s="110"/>
      <c r="FZ51" s="110"/>
      <c r="GA51" s="110"/>
      <c r="GB51" s="110"/>
    </row>
    <row r="52" spans="2:184" s="108" customFormat="1" x14ac:dyDescent="0.3">
      <c r="B52" s="109" t="s">
        <v>89</v>
      </c>
      <c r="D52" s="110"/>
      <c r="E52" s="110"/>
      <c r="F52" s="110"/>
      <c r="G52" s="110"/>
      <c r="H52" s="110"/>
      <c r="I52" s="110"/>
      <c r="J52" s="110"/>
      <c r="K52" s="110"/>
      <c r="L52" s="110"/>
      <c r="M52" s="110"/>
      <c r="N52" s="110"/>
      <c r="O52" s="110"/>
      <c r="P52" s="110"/>
      <c r="R52" s="110"/>
      <c r="S52" s="110"/>
      <c r="T52" s="110"/>
      <c r="U52" s="110"/>
      <c r="V52" s="110"/>
      <c r="W52" s="110"/>
      <c r="X52" s="110"/>
      <c r="Y52" s="110"/>
      <c r="Z52" s="110"/>
      <c r="AA52" s="110"/>
      <c r="AB52" s="110"/>
      <c r="AC52" s="110"/>
      <c r="AD52" s="110"/>
      <c r="AF52" s="110"/>
      <c r="AG52" s="110"/>
      <c r="AH52" s="110"/>
      <c r="AI52" s="110"/>
      <c r="AJ52" s="110"/>
      <c r="AK52" s="110"/>
      <c r="AL52" s="110"/>
      <c r="AM52" s="110"/>
      <c r="AN52" s="110"/>
      <c r="AO52" s="110"/>
      <c r="AP52" s="110"/>
      <c r="AQ52" s="110"/>
      <c r="AR52" s="110"/>
      <c r="AT52" s="110"/>
      <c r="AU52" s="110"/>
      <c r="AV52" s="110"/>
      <c r="AW52" s="110"/>
      <c r="AX52" s="110"/>
      <c r="AY52" s="110"/>
      <c r="AZ52" s="110"/>
      <c r="BA52" s="110"/>
      <c r="BB52" s="110"/>
      <c r="BC52" s="110"/>
      <c r="BD52" s="110"/>
      <c r="BE52" s="110"/>
      <c r="BF52" s="110"/>
      <c r="BH52" s="110"/>
      <c r="BI52" s="110"/>
      <c r="BJ52" s="110"/>
      <c r="BK52" s="110"/>
      <c r="BL52" s="110"/>
      <c r="BM52" s="110"/>
      <c r="BN52" s="110"/>
      <c r="BO52" s="110"/>
      <c r="BP52" s="110"/>
      <c r="BQ52" s="110"/>
      <c r="BR52" s="110"/>
      <c r="BS52" s="110"/>
      <c r="BT52" s="110"/>
      <c r="BV52" s="110"/>
      <c r="BW52" s="110"/>
      <c r="BX52" s="110"/>
      <c r="BY52" s="110"/>
      <c r="BZ52" s="110"/>
      <c r="CA52" s="110"/>
      <c r="CB52" s="110"/>
      <c r="CC52" s="110"/>
      <c r="CD52" s="110"/>
      <c r="CE52" s="110"/>
      <c r="CF52" s="110"/>
      <c r="CG52" s="110"/>
      <c r="CH52" s="110"/>
      <c r="CJ52" s="110"/>
      <c r="CK52" s="110"/>
      <c r="CL52" s="110"/>
      <c r="CM52" s="110"/>
      <c r="CN52" s="110"/>
      <c r="CO52" s="110"/>
      <c r="CP52" s="110"/>
      <c r="CQ52" s="110"/>
      <c r="CR52" s="110"/>
      <c r="CS52" s="110"/>
      <c r="CT52" s="110"/>
      <c r="CU52" s="110"/>
      <c r="CV52" s="110"/>
      <c r="CX52" s="110"/>
      <c r="CY52" s="110"/>
      <c r="CZ52" s="110"/>
      <c r="DA52" s="110"/>
      <c r="DB52" s="110"/>
      <c r="DC52" s="110"/>
      <c r="DD52" s="110"/>
      <c r="DE52" s="110"/>
      <c r="DF52" s="110"/>
      <c r="DG52" s="110"/>
      <c r="DH52" s="110"/>
      <c r="DI52" s="110"/>
      <c r="DJ52" s="110"/>
      <c r="DL52" s="110"/>
      <c r="DM52" s="110"/>
      <c r="DN52" s="110"/>
      <c r="DO52" s="110"/>
      <c r="DP52" s="110"/>
      <c r="DQ52" s="110"/>
      <c r="DR52" s="110"/>
      <c r="DS52" s="110"/>
      <c r="DT52" s="110"/>
      <c r="DU52" s="110"/>
      <c r="DV52" s="110"/>
      <c r="DW52" s="110"/>
      <c r="DX52" s="110"/>
      <c r="DZ52" s="110"/>
      <c r="EA52" s="110"/>
      <c r="EB52" s="110"/>
      <c r="EC52" s="110"/>
      <c r="ED52" s="110"/>
      <c r="EE52" s="110"/>
      <c r="EF52" s="110"/>
      <c r="EG52" s="110"/>
      <c r="EH52" s="110"/>
      <c r="EI52" s="110"/>
      <c r="EJ52" s="110"/>
      <c r="EK52" s="110"/>
      <c r="EL52" s="110"/>
      <c r="EN52" s="110"/>
      <c r="EO52" s="110"/>
      <c r="EP52" s="110"/>
      <c r="EQ52" s="110"/>
      <c r="ER52" s="110"/>
      <c r="ES52" s="110"/>
      <c r="ET52" s="110"/>
      <c r="EU52" s="110"/>
      <c r="EV52" s="110"/>
      <c r="EW52" s="110"/>
      <c r="EX52" s="110"/>
      <c r="EY52" s="110"/>
      <c r="EZ52" s="110"/>
      <c r="FB52" s="110"/>
      <c r="FC52" s="110"/>
      <c r="FD52" s="110"/>
      <c r="FE52" s="110"/>
      <c r="FF52" s="110"/>
      <c r="FG52" s="110"/>
      <c r="FH52" s="110"/>
      <c r="FI52" s="110"/>
      <c r="FJ52" s="110"/>
      <c r="FK52" s="110"/>
      <c r="FL52" s="110"/>
      <c r="FM52" s="110"/>
      <c r="FN52" s="110"/>
      <c r="FP52" s="110"/>
      <c r="FQ52" s="110"/>
      <c r="FR52" s="110"/>
      <c r="FS52" s="110"/>
      <c r="FT52" s="110"/>
      <c r="FU52" s="110"/>
      <c r="FV52" s="110"/>
      <c r="FW52" s="110"/>
      <c r="FX52" s="110"/>
      <c r="FY52" s="110"/>
      <c r="FZ52" s="110"/>
      <c r="GA52" s="110"/>
      <c r="GB52" s="110"/>
    </row>
    <row r="53" spans="2:184" s="108" customFormat="1" x14ac:dyDescent="0.3">
      <c r="B53" s="109" t="s">
        <v>90</v>
      </c>
      <c r="D53" s="110"/>
      <c r="E53" s="110"/>
      <c r="F53" s="110"/>
      <c r="G53" s="110"/>
      <c r="H53" s="110"/>
      <c r="I53" s="110"/>
      <c r="J53" s="110"/>
      <c r="K53" s="110"/>
      <c r="L53" s="110"/>
      <c r="M53" s="110"/>
      <c r="N53" s="110"/>
      <c r="O53" s="110"/>
      <c r="P53" s="110"/>
      <c r="R53" s="110"/>
      <c r="S53" s="110"/>
      <c r="T53" s="110"/>
      <c r="U53" s="110"/>
      <c r="V53" s="110"/>
      <c r="W53" s="110"/>
      <c r="X53" s="110"/>
      <c r="Y53" s="110"/>
      <c r="Z53" s="110"/>
      <c r="AA53" s="110"/>
      <c r="AB53" s="110"/>
      <c r="AC53" s="110"/>
      <c r="AD53" s="110"/>
      <c r="AF53" s="110"/>
      <c r="AG53" s="110"/>
      <c r="AH53" s="110"/>
      <c r="AI53" s="110"/>
      <c r="AJ53" s="110"/>
      <c r="AK53" s="110"/>
      <c r="AL53" s="110"/>
      <c r="AM53" s="110"/>
      <c r="AN53" s="110"/>
      <c r="AO53" s="110"/>
      <c r="AP53" s="110"/>
      <c r="AQ53" s="110"/>
      <c r="AR53" s="110"/>
      <c r="AT53" s="110"/>
      <c r="AU53" s="110"/>
      <c r="AV53" s="110"/>
      <c r="AW53" s="110"/>
      <c r="AX53" s="110"/>
      <c r="AY53" s="110"/>
      <c r="AZ53" s="110"/>
      <c r="BA53" s="110"/>
      <c r="BB53" s="110"/>
      <c r="BC53" s="110"/>
      <c r="BD53" s="110"/>
      <c r="BE53" s="110"/>
      <c r="BF53" s="110"/>
      <c r="BH53" s="110"/>
      <c r="BI53" s="110"/>
      <c r="BJ53" s="110"/>
      <c r="BK53" s="110"/>
      <c r="BL53" s="110"/>
      <c r="BM53" s="110"/>
      <c r="BN53" s="110"/>
      <c r="BO53" s="110"/>
      <c r="BP53" s="110"/>
      <c r="BQ53" s="110"/>
      <c r="BR53" s="110"/>
      <c r="BS53" s="110"/>
      <c r="BT53" s="110"/>
      <c r="BV53" s="110"/>
      <c r="BW53" s="110"/>
      <c r="BX53" s="110"/>
      <c r="BY53" s="110"/>
      <c r="BZ53" s="110"/>
      <c r="CA53" s="110"/>
      <c r="CB53" s="110"/>
      <c r="CC53" s="110"/>
      <c r="CD53" s="110"/>
      <c r="CE53" s="110"/>
      <c r="CF53" s="110"/>
      <c r="CG53" s="110"/>
      <c r="CH53" s="110"/>
      <c r="CJ53" s="110"/>
      <c r="CK53" s="110"/>
      <c r="CL53" s="110"/>
      <c r="CM53" s="110"/>
      <c r="CN53" s="110"/>
      <c r="CO53" s="110"/>
      <c r="CP53" s="110"/>
      <c r="CQ53" s="110"/>
      <c r="CR53" s="110"/>
      <c r="CS53" s="110"/>
      <c r="CT53" s="110"/>
      <c r="CU53" s="110"/>
      <c r="CV53" s="110"/>
      <c r="CX53" s="110"/>
      <c r="CY53" s="110"/>
      <c r="CZ53" s="110"/>
      <c r="DA53" s="110"/>
      <c r="DB53" s="110"/>
      <c r="DC53" s="110"/>
      <c r="DD53" s="110"/>
      <c r="DE53" s="110"/>
      <c r="DF53" s="110"/>
      <c r="DG53" s="110"/>
      <c r="DH53" s="110"/>
      <c r="DI53" s="110"/>
      <c r="DJ53" s="110"/>
      <c r="DL53" s="110"/>
      <c r="DM53" s="110"/>
      <c r="DN53" s="110"/>
      <c r="DO53" s="110"/>
      <c r="DP53" s="110"/>
      <c r="DQ53" s="110"/>
      <c r="DR53" s="110"/>
      <c r="DS53" s="110"/>
      <c r="DT53" s="110"/>
      <c r="DU53" s="110"/>
      <c r="DV53" s="110"/>
      <c r="DW53" s="110"/>
      <c r="DX53" s="110"/>
      <c r="DZ53" s="110"/>
      <c r="EA53" s="110"/>
      <c r="EB53" s="110"/>
      <c r="EC53" s="110"/>
      <c r="ED53" s="110"/>
      <c r="EE53" s="110"/>
      <c r="EF53" s="110"/>
      <c r="EG53" s="110"/>
      <c r="EH53" s="110"/>
      <c r="EI53" s="110"/>
      <c r="EJ53" s="110"/>
      <c r="EK53" s="110"/>
      <c r="EL53" s="110"/>
      <c r="EN53" s="110"/>
      <c r="EO53" s="110"/>
      <c r="EP53" s="110"/>
      <c r="EQ53" s="110"/>
      <c r="ER53" s="110"/>
      <c r="ES53" s="110"/>
      <c r="ET53" s="110"/>
      <c r="EU53" s="110"/>
      <c r="EV53" s="110"/>
      <c r="EW53" s="110"/>
      <c r="EX53" s="110"/>
      <c r="EY53" s="110"/>
      <c r="EZ53" s="110"/>
      <c r="FB53" s="110"/>
      <c r="FC53" s="110"/>
      <c r="FD53" s="110"/>
      <c r="FE53" s="110"/>
      <c r="FF53" s="110"/>
      <c r="FG53" s="110"/>
      <c r="FH53" s="110"/>
      <c r="FI53" s="110"/>
      <c r="FJ53" s="110"/>
      <c r="FK53" s="110"/>
      <c r="FL53" s="110"/>
      <c r="FM53" s="110"/>
      <c r="FN53" s="110"/>
      <c r="FP53" s="110"/>
      <c r="FQ53" s="110"/>
      <c r="FR53" s="110"/>
      <c r="FS53" s="110"/>
      <c r="FT53" s="110"/>
      <c r="FU53" s="110"/>
      <c r="FV53" s="110"/>
      <c r="FW53" s="110"/>
      <c r="FX53" s="110"/>
      <c r="FY53" s="110"/>
      <c r="FZ53" s="110"/>
      <c r="GA53" s="110"/>
      <c r="GB53" s="110"/>
    </row>
    <row r="54" spans="2:184" s="108" customFormat="1" x14ac:dyDescent="0.3">
      <c r="B54" s="109" t="s">
        <v>91</v>
      </c>
      <c r="D54" s="110"/>
      <c r="E54" s="110"/>
      <c r="F54" s="110"/>
      <c r="G54" s="110"/>
      <c r="H54" s="110"/>
      <c r="I54" s="110"/>
      <c r="J54" s="110"/>
      <c r="K54" s="110"/>
      <c r="L54" s="110"/>
      <c r="M54" s="110"/>
      <c r="N54" s="110"/>
      <c r="O54" s="110"/>
      <c r="P54" s="110"/>
      <c r="R54" s="110"/>
      <c r="S54" s="110"/>
      <c r="T54" s="110"/>
      <c r="U54" s="110"/>
      <c r="V54" s="110"/>
      <c r="W54" s="110"/>
      <c r="X54" s="110"/>
      <c r="Y54" s="110"/>
      <c r="Z54" s="110"/>
      <c r="AA54" s="110"/>
      <c r="AB54" s="110"/>
      <c r="AC54" s="110"/>
      <c r="AD54" s="110"/>
      <c r="AF54" s="110"/>
      <c r="AG54" s="110"/>
      <c r="AH54" s="110"/>
      <c r="AI54" s="110"/>
      <c r="AJ54" s="110"/>
      <c r="AK54" s="110"/>
      <c r="AL54" s="110"/>
      <c r="AM54" s="110"/>
      <c r="AN54" s="110"/>
      <c r="AO54" s="110"/>
      <c r="AP54" s="110"/>
      <c r="AQ54" s="110"/>
      <c r="AR54" s="110"/>
      <c r="AT54" s="110"/>
      <c r="AU54" s="110"/>
      <c r="AV54" s="110"/>
      <c r="AW54" s="110"/>
      <c r="AX54" s="110"/>
      <c r="AY54" s="110"/>
      <c r="AZ54" s="110"/>
      <c r="BA54" s="110"/>
      <c r="BB54" s="110"/>
      <c r="BC54" s="110"/>
      <c r="BD54" s="110"/>
      <c r="BE54" s="110"/>
      <c r="BF54" s="110"/>
      <c r="BH54" s="110"/>
      <c r="BI54" s="110"/>
      <c r="BJ54" s="110"/>
      <c r="BK54" s="110"/>
      <c r="BL54" s="110"/>
      <c r="BM54" s="110"/>
      <c r="BN54" s="110"/>
      <c r="BO54" s="110"/>
      <c r="BP54" s="110"/>
      <c r="BQ54" s="110"/>
      <c r="BR54" s="110"/>
      <c r="BS54" s="110"/>
      <c r="BT54" s="110"/>
      <c r="BV54" s="110"/>
      <c r="BW54" s="110"/>
      <c r="BX54" s="110"/>
      <c r="BY54" s="110"/>
      <c r="BZ54" s="110"/>
      <c r="CA54" s="110"/>
      <c r="CB54" s="110"/>
      <c r="CC54" s="110"/>
      <c r="CD54" s="110"/>
      <c r="CE54" s="110"/>
      <c r="CF54" s="110"/>
      <c r="CG54" s="110"/>
      <c r="CH54" s="110"/>
      <c r="CJ54" s="110"/>
      <c r="CK54" s="110"/>
      <c r="CL54" s="110"/>
      <c r="CM54" s="110"/>
      <c r="CN54" s="110"/>
      <c r="CO54" s="110"/>
      <c r="CP54" s="110"/>
      <c r="CQ54" s="110"/>
      <c r="CR54" s="110"/>
      <c r="CS54" s="110"/>
      <c r="CT54" s="110"/>
      <c r="CU54" s="110"/>
      <c r="CV54" s="110"/>
      <c r="CX54" s="110"/>
      <c r="CY54" s="110"/>
      <c r="CZ54" s="110"/>
      <c r="DA54" s="110"/>
      <c r="DB54" s="110"/>
      <c r="DC54" s="110"/>
      <c r="DD54" s="110"/>
      <c r="DE54" s="110"/>
      <c r="DF54" s="110"/>
      <c r="DG54" s="110"/>
      <c r="DH54" s="110"/>
      <c r="DI54" s="110"/>
      <c r="DJ54" s="110"/>
      <c r="DL54" s="110"/>
      <c r="DM54" s="110"/>
      <c r="DN54" s="110"/>
      <c r="DO54" s="110"/>
      <c r="DP54" s="110"/>
      <c r="DQ54" s="110"/>
      <c r="DR54" s="110"/>
      <c r="DS54" s="110"/>
      <c r="DT54" s="110"/>
      <c r="DU54" s="110"/>
      <c r="DV54" s="110"/>
      <c r="DW54" s="110"/>
      <c r="DX54" s="110"/>
      <c r="DZ54" s="110"/>
      <c r="EA54" s="110"/>
      <c r="EB54" s="110"/>
      <c r="EC54" s="110"/>
      <c r="ED54" s="110"/>
      <c r="EE54" s="110"/>
      <c r="EF54" s="110"/>
      <c r="EG54" s="110"/>
      <c r="EH54" s="110"/>
      <c r="EI54" s="110"/>
      <c r="EJ54" s="110"/>
      <c r="EK54" s="110"/>
      <c r="EL54" s="110"/>
      <c r="EN54" s="110"/>
      <c r="EO54" s="110"/>
      <c r="EP54" s="110"/>
      <c r="EQ54" s="110"/>
      <c r="ER54" s="110"/>
      <c r="ES54" s="110"/>
      <c r="ET54" s="110"/>
      <c r="EU54" s="110"/>
      <c r="EV54" s="110"/>
      <c r="EW54" s="110"/>
      <c r="EX54" s="110"/>
      <c r="EY54" s="110"/>
      <c r="EZ54" s="110"/>
      <c r="FB54" s="110"/>
      <c r="FC54" s="110"/>
      <c r="FD54" s="110"/>
      <c r="FE54" s="110"/>
      <c r="FF54" s="110"/>
      <c r="FG54" s="110"/>
      <c r="FH54" s="110"/>
      <c r="FI54" s="110"/>
      <c r="FJ54" s="110"/>
      <c r="FK54" s="110"/>
      <c r="FL54" s="110"/>
      <c r="FM54" s="110"/>
      <c r="FN54" s="110"/>
      <c r="FP54" s="110"/>
      <c r="FQ54" s="110"/>
      <c r="FR54" s="110"/>
      <c r="FS54" s="110"/>
      <c r="FT54" s="110"/>
      <c r="FU54" s="110"/>
      <c r="FV54" s="110"/>
      <c r="FW54" s="110"/>
      <c r="FX54" s="110"/>
      <c r="FY54" s="110"/>
      <c r="FZ54" s="110"/>
      <c r="GA54" s="110"/>
      <c r="GB54" s="110"/>
    </row>
    <row r="55" spans="2:184" s="108" customFormat="1" x14ac:dyDescent="0.3">
      <c r="B55" s="109" t="s">
        <v>92</v>
      </c>
      <c r="D55" s="110"/>
      <c r="E55" s="110"/>
      <c r="F55" s="110"/>
      <c r="G55" s="110"/>
      <c r="H55" s="110"/>
      <c r="I55" s="110"/>
      <c r="J55" s="110"/>
      <c r="K55" s="110"/>
      <c r="L55" s="110"/>
      <c r="M55" s="110"/>
      <c r="N55" s="110"/>
      <c r="O55" s="110"/>
      <c r="P55" s="110"/>
      <c r="R55" s="110"/>
      <c r="S55" s="110"/>
      <c r="T55" s="110"/>
      <c r="U55" s="110"/>
      <c r="V55" s="110"/>
      <c r="W55" s="110"/>
      <c r="X55" s="110"/>
      <c r="Y55" s="110"/>
      <c r="Z55" s="110"/>
      <c r="AA55" s="110"/>
      <c r="AB55" s="110"/>
      <c r="AC55" s="110"/>
      <c r="AD55" s="110"/>
      <c r="AF55" s="110"/>
      <c r="AG55" s="110"/>
      <c r="AH55" s="110"/>
      <c r="AI55" s="110"/>
      <c r="AJ55" s="110"/>
      <c r="AK55" s="110"/>
      <c r="AL55" s="110"/>
      <c r="AM55" s="110"/>
      <c r="AN55" s="110"/>
      <c r="AO55" s="110"/>
      <c r="AP55" s="110"/>
      <c r="AQ55" s="110"/>
      <c r="AR55" s="110"/>
      <c r="AT55" s="110"/>
      <c r="AU55" s="110"/>
      <c r="AV55" s="110"/>
      <c r="AW55" s="110"/>
      <c r="AX55" s="110"/>
      <c r="AY55" s="110"/>
      <c r="AZ55" s="110"/>
      <c r="BA55" s="110"/>
      <c r="BB55" s="110"/>
      <c r="BC55" s="110"/>
      <c r="BD55" s="110"/>
      <c r="BE55" s="110"/>
      <c r="BF55" s="110"/>
      <c r="BH55" s="110"/>
      <c r="BI55" s="110"/>
      <c r="BJ55" s="110"/>
      <c r="BK55" s="110"/>
      <c r="BL55" s="110"/>
      <c r="BM55" s="110"/>
      <c r="BN55" s="110"/>
      <c r="BO55" s="110"/>
      <c r="BP55" s="110"/>
      <c r="BQ55" s="110"/>
      <c r="BR55" s="110"/>
      <c r="BS55" s="110"/>
      <c r="BT55" s="110"/>
      <c r="BV55" s="110"/>
      <c r="BW55" s="110"/>
      <c r="BX55" s="110"/>
      <c r="BY55" s="110"/>
      <c r="BZ55" s="110"/>
      <c r="CA55" s="110"/>
      <c r="CB55" s="110"/>
      <c r="CC55" s="110"/>
      <c r="CD55" s="110"/>
      <c r="CE55" s="110"/>
      <c r="CF55" s="110"/>
      <c r="CG55" s="110"/>
      <c r="CH55" s="110"/>
      <c r="CJ55" s="110"/>
      <c r="CK55" s="110"/>
      <c r="CL55" s="110"/>
      <c r="CM55" s="110"/>
      <c r="CN55" s="110"/>
      <c r="CO55" s="110"/>
      <c r="CP55" s="110"/>
      <c r="CQ55" s="110"/>
      <c r="CR55" s="110"/>
      <c r="CS55" s="110"/>
      <c r="CT55" s="110"/>
      <c r="CU55" s="110"/>
      <c r="CV55" s="110"/>
      <c r="CX55" s="110"/>
      <c r="CY55" s="110"/>
      <c r="CZ55" s="110"/>
      <c r="DA55" s="110"/>
      <c r="DB55" s="110"/>
      <c r="DC55" s="110"/>
      <c r="DD55" s="110"/>
      <c r="DE55" s="110"/>
      <c r="DF55" s="110"/>
      <c r="DG55" s="110"/>
      <c r="DH55" s="110"/>
      <c r="DI55" s="110"/>
      <c r="DJ55" s="110"/>
      <c r="DL55" s="110"/>
      <c r="DM55" s="110"/>
      <c r="DN55" s="110"/>
      <c r="DO55" s="110"/>
      <c r="DP55" s="110"/>
      <c r="DQ55" s="110"/>
      <c r="DR55" s="110"/>
      <c r="DS55" s="110"/>
      <c r="DT55" s="110"/>
      <c r="DU55" s="110"/>
      <c r="DV55" s="110"/>
      <c r="DW55" s="110"/>
      <c r="DX55" s="110"/>
      <c r="DZ55" s="110"/>
      <c r="EA55" s="110"/>
      <c r="EB55" s="110"/>
      <c r="EC55" s="110"/>
      <c r="ED55" s="110"/>
      <c r="EE55" s="110"/>
      <c r="EF55" s="110"/>
      <c r="EG55" s="110"/>
      <c r="EH55" s="110"/>
      <c r="EI55" s="110"/>
      <c r="EJ55" s="110"/>
      <c r="EK55" s="110"/>
      <c r="EL55" s="110"/>
      <c r="EN55" s="110"/>
      <c r="EO55" s="110"/>
      <c r="EP55" s="110"/>
      <c r="EQ55" s="110"/>
      <c r="ER55" s="110"/>
      <c r="ES55" s="110"/>
      <c r="ET55" s="110"/>
      <c r="EU55" s="110"/>
      <c r="EV55" s="110"/>
      <c r="EW55" s="110"/>
      <c r="EX55" s="110"/>
      <c r="EY55" s="110"/>
      <c r="EZ55" s="110"/>
      <c r="FB55" s="110"/>
      <c r="FC55" s="110"/>
      <c r="FD55" s="110"/>
      <c r="FE55" s="110"/>
      <c r="FF55" s="110"/>
      <c r="FG55" s="110"/>
      <c r="FH55" s="110"/>
      <c r="FI55" s="110"/>
      <c r="FJ55" s="110"/>
      <c r="FK55" s="110"/>
      <c r="FL55" s="110"/>
      <c r="FM55" s="110"/>
      <c r="FN55" s="110"/>
      <c r="FP55" s="110"/>
      <c r="FQ55" s="110"/>
      <c r="FR55" s="110"/>
      <c r="FS55" s="110"/>
      <c r="FT55" s="110"/>
      <c r="FU55" s="110"/>
      <c r="FV55" s="110"/>
      <c r="FW55" s="110"/>
      <c r="FX55" s="110"/>
      <c r="FY55" s="110"/>
      <c r="FZ55" s="110"/>
      <c r="GA55" s="110"/>
      <c r="GB55" s="110"/>
    </row>
    <row r="56" spans="2:184" s="108" customFormat="1" x14ac:dyDescent="0.3">
      <c r="B56" s="109" t="s">
        <v>93</v>
      </c>
      <c r="D56" s="110"/>
      <c r="E56" s="110"/>
      <c r="F56" s="110"/>
      <c r="G56" s="110"/>
      <c r="H56" s="110"/>
      <c r="I56" s="110"/>
      <c r="J56" s="110"/>
      <c r="K56" s="110"/>
      <c r="L56" s="110"/>
      <c r="M56" s="110"/>
      <c r="N56" s="110"/>
      <c r="O56" s="110"/>
      <c r="P56" s="110"/>
      <c r="R56" s="110"/>
      <c r="S56" s="110"/>
      <c r="T56" s="110"/>
      <c r="U56" s="110"/>
      <c r="V56" s="110"/>
      <c r="W56" s="110"/>
      <c r="X56" s="110"/>
      <c r="Y56" s="110"/>
      <c r="Z56" s="110"/>
      <c r="AA56" s="110"/>
      <c r="AB56" s="110"/>
      <c r="AC56" s="110"/>
      <c r="AD56" s="110"/>
      <c r="AF56" s="110"/>
      <c r="AG56" s="110"/>
      <c r="AH56" s="110"/>
      <c r="AI56" s="110"/>
      <c r="AJ56" s="110"/>
      <c r="AK56" s="110"/>
      <c r="AL56" s="110"/>
      <c r="AM56" s="110"/>
      <c r="AN56" s="110"/>
      <c r="AO56" s="110"/>
      <c r="AP56" s="110"/>
      <c r="AQ56" s="110"/>
      <c r="AR56" s="110"/>
      <c r="AT56" s="110"/>
      <c r="AU56" s="110"/>
      <c r="AV56" s="110"/>
      <c r="AW56" s="110"/>
      <c r="AX56" s="110"/>
      <c r="AY56" s="110"/>
      <c r="AZ56" s="110"/>
      <c r="BA56" s="110"/>
      <c r="BB56" s="110"/>
      <c r="BC56" s="110"/>
      <c r="BD56" s="110"/>
      <c r="BE56" s="110"/>
      <c r="BF56" s="110"/>
      <c r="BH56" s="110"/>
      <c r="BI56" s="110"/>
      <c r="BJ56" s="110"/>
      <c r="BK56" s="110"/>
      <c r="BL56" s="110"/>
      <c r="BM56" s="110"/>
      <c r="BN56" s="110"/>
      <c r="BO56" s="110"/>
      <c r="BP56" s="110"/>
      <c r="BQ56" s="110"/>
      <c r="BR56" s="110"/>
      <c r="BS56" s="110"/>
      <c r="BT56" s="110"/>
      <c r="BV56" s="110"/>
      <c r="BW56" s="110"/>
      <c r="BX56" s="110"/>
      <c r="BY56" s="110"/>
      <c r="BZ56" s="110"/>
      <c r="CA56" s="110"/>
      <c r="CB56" s="110"/>
      <c r="CC56" s="110"/>
      <c r="CD56" s="110"/>
      <c r="CE56" s="110"/>
      <c r="CF56" s="110"/>
      <c r="CG56" s="110"/>
      <c r="CH56" s="110"/>
      <c r="CJ56" s="110"/>
      <c r="CK56" s="110"/>
      <c r="CL56" s="110"/>
      <c r="CM56" s="110"/>
      <c r="CN56" s="110"/>
      <c r="CO56" s="110"/>
      <c r="CP56" s="110"/>
      <c r="CQ56" s="110"/>
      <c r="CR56" s="110"/>
      <c r="CS56" s="110"/>
      <c r="CT56" s="110"/>
      <c r="CU56" s="110"/>
      <c r="CV56" s="110"/>
      <c r="CX56" s="110"/>
      <c r="CY56" s="110"/>
      <c r="CZ56" s="110"/>
      <c r="DA56" s="110"/>
      <c r="DB56" s="110"/>
      <c r="DC56" s="110"/>
      <c r="DD56" s="110"/>
      <c r="DE56" s="110"/>
      <c r="DF56" s="110"/>
      <c r="DG56" s="110"/>
      <c r="DH56" s="110"/>
      <c r="DI56" s="110"/>
      <c r="DJ56" s="110"/>
      <c r="DL56" s="110"/>
      <c r="DM56" s="110"/>
      <c r="DN56" s="110"/>
      <c r="DO56" s="110"/>
      <c r="DP56" s="110"/>
      <c r="DQ56" s="110"/>
      <c r="DR56" s="110"/>
      <c r="DS56" s="110"/>
      <c r="DT56" s="110"/>
      <c r="DU56" s="110"/>
      <c r="DV56" s="110"/>
      <c r="DW56" s="110"/>
      <c r="DX56" s="110"/>
      <c r="DZ56" s="110"/>
      <c r="EA56" s="110"/>
      <c r="EB56" s="110"/>
      <c r="EC56" s="110"/>
      <c r="ED56" s="110"/>
      <c r="EE56" s="110"/>
      <c r="EF56" s="110"/>
      <c r="EG56" s="110"/>
      <c r="EH56" s="110"/>
      <c r="EI56" s="110"/>
      <c r="EJ56" s="110"/>
      <c r="EK56" s="110"/>
      <c r="EL56" s="110"/>
      <c r="EN56" s="110"/>
      <c r="EO56" s="110"/>
      <c r="EP56" s="110"/>
      <c r="EQ56" s="110"/>
      <c r="ER56" s="110"/>
      <c r="ES56" s="110"/>
      <c r="ET56" s="110"/>
      <c r="EU56" s="110"/>
      <c r="EV56" s="110"/>
      <c r="EW56" s="110"/>
      <c r="EX56" s="110"/>
      <c r="EY56" s="110"/>
      <c r="EZ56" s="110"/>
      <c r="FB56" s="110"/>
      <c r="FC56" s="110"/>
      <c r="FD56" s="110"/>
      <c r="FE56" s="110"/>
      <c r="FF56" s="110"/>
      <c r="FG56" s="110"/>
      <c r="FH56" s="110"/>
      <c r="FI56" s="110"/>
      <c r="FJ56" s="110"/>
      <c r="FK56" s="110"/>
      <c r="FL56" s="110"/>
      <c r="FM56" s="110"/>
      <c r="FN56" s="110"/>
      <c r="FP56" s="110"/>
      <c r="FQ56" s="110"/>
      <c r="FR56" s="110"/>
      <c r="FS56" s="110"/>
      <c r="FT56" s="110"/>
      <c r="FU56" s="110"/>
      <c r="FV56" s="110"/>
      <c r="FW56" s="110"/>
      <c r="FX56" s="110"/>
      <c r="FY56" s="110"/>
      <c r="FZ56" s="110"/>
      <c r="GA56" s="110"/>
      <c r="GB56" s="110"/>
    </row>
    <row r="57" spans="2:184" s="108" customFormat="1" hidden="1" x14ac:dyDescent="0.3">
      <c r="B57" s="117" t="s">
        <v>37</v>
      </c>
      <c r="D57" s="110"/>
      <c r="E57" s="110"/>
      <c r="F57" s="110"/>
      <c r="G57" s="110"/>
      <c r="H57" s="110"/>
      <c r="I57" s="110"/>
      <c r="J57" s="110"/>
      <c r="K57" s="110"/>
      <c r="L57" s="110"/>
      <c r="M57" s="110"/>
      <c r="N57" s="110"/>
      <c r="O57" s="110"/>
      <c r="P57" s="110"/>
      <c r="R57" s="110"/>
      <c r="S57" s="110"/>
      <c r="T57" s="110"/>
      <c r="U57" s="110"/>
      <c r="V57" s="110"/>
      <c r="W57" s="110"/>
      <c r="X57" s="110"/>
      <c r="Y57" s="110"/>
      <c r="Z57" s="110"/>
      <c r="AA57" s="110"/>
      <c r="AB57" s="110"/>
      <c r="AC57" s="110"/>
      <c r="AD57" s="110"/>
      <c r="AF57" s="110"/>
      <c r="AG57" s="110"/>
      <c r="AH57" s="110"/>
      <c r="AI57" s="110"/>
      <c r="AJ57" s="110"/>
      <c r="AK57" s="110"/>
      <c r="AL57" s="110"/>
      <c r="AM57" s="110"/>
      <c r="AN57" s="110"/>
      <c r="AO57" s="110"/>
      <c r="AP57" s="110"/>
      <c r="AQ57" s="110"/>
      <c r="AR57" s="110"/>
      <c r="AT57" s="110"/>
      <c r="AU57" s="110"/>
      <c r="AV57" s="110"/>
      <c r="AW57" s="110"/>
      <c r="AX57" s="110"/>
      <c r="AY57" s="110"/>
      <c r="AZ57" s="110"/>
      <c r="BA57" s="110"/>
      <c r="BB57" s="110"/>
      <c r="BC57" s="110"/>
      <c r="BD57" s="110"/>
      <c r="BE57" s="110"/>
      <c r="BF57" s="110"/>
      <c r="BH57" s="110"/>
      <c r="BI57" s="110"/>
      <c r="BJ57" s="110"/>
      <c r="BK57" s="110"/>
      <c r="BL57" s="110"/>
      <c r="BM57" s="110"/>
      <c r="BN57" s="110"/>
      <c r="BO57" s="110"/>
      <c r="BP57" s="110"/>
      <c r="BQ57" s="110"/>
      <c r="BR57" s="110"/>
      <c r="BS57" s="110"/>
      <c r="BT57" s="110"/>
      <c r="BV57" s="110"/>
      <c r="BW57" s="110"/>
      <c r="BX57" s="110"/>
      <c r="BY57" s="110"/>
      <c r="BZ57" s="110"/>
      <c r="CA57" s="110"/>
      <c r="CB57" s="110"/>
      <c r="CC57" s="110"/>
      <c r="CD57" s="110"/>
      <c r="CE57" s="110"/>
      <c r="CF57" s="110"/>
      <c r="CG57" s="110"/>
      <c r="CH57" s="110"/>
      <c r="CJ57" s="110"/>
      <c r="CK57" s="110"/>
      <c r="CL57" s="110"/>
      <c r="CM57" s="110"/>
      <c r="CN57" s="110"/>
      <c r="CO57" s="110"/>
      <c r="CP57" s="110"/>
      <c r="CQ57" s="110"/>
      <c r="CR57" s="110"/>
      <c r="CS57" s="110"/>
      <c r="CT57" s="110"/>
      <c r="CU57" s="110"/>
      <c r="CV57" s="110"/>
      <c r="CX57" s="110"/>
      <c r="CY57" s="110"/>
      <c r="CZ57" s="110"/>
      <c r="DA57" s="110"/>
      <c r="DB57" s="110"/>
      <c r="DC57" s="110"/>
      <c r="DD57" s="110"/>
      <c r="DE57" s="110"/>
      <c r="DF57" s="110"/>
      <c r="DG57" s="110"/>
      <c r="DH57" s="110"/>
      <c r="DI57" s="110"/>
      <c r="DJ57" s="110"/>
      <c r="DL57" s="110"/>
      <c r="DM57" s="110"/>
      <c r="DN57" s="110"/>
      <c r="DO57" s="110"/>
      <c r="DP57" s="110"/>
      <c r="DQ57" s="110"/>
      <c r="DR57" s="110"/>
      <c r="DS57" s="110"/>
      <c r="DT57" s="110"/>
      <c r="DU57" s="110"/>
      <c r="DV57" s="110"/>
      <c r="DW57" s="110"/>
      <c r="DX57" s="110"/>
      <c r="DZ57" s="110"/>
      <c r="EA57" s="110"/>
      <c r="EB57" s="110"/>
      <c r="EC57" s="110"/>
      <c r="ED57" s="110"/>
      <c r="EE57" s="110"/>
      <c r="EF57" s="110"/>
      <c r="EG57" s="110"/>
      <c r="EH57" s="110"/>
      <c r="EI57" s="110"/>
      <c r="EJ57" s="110"/>
      <c r="EK57" s="110"/>
      <c r="EL57" s="110"/>
      <c r="EN57" s="110"/>
      <c r="EO57" s="110"/>
      <c r="EP57" s="110"/>
      <c r="EQ57" s="110"/>
      <c r="ER57" s="110"/>
      <c r="ES57" s="110"/>
      <c r="ET57" s="110"/>
      <c r="EU57" s="110"/>
      <c r="EV57" s="110"/>
      <c r="EW57" s="110"/>
      <c r="EX57" s="110"/>
      <c r="EY57" s="110"/>
      <c r="EZ57" s="110"/>
      <c r="FB57" s="110"/>
      <c r="FC57" s="110"/>
      <c r="FD57" s="110"/>
      <c r="FE57" s="110"/>
      <c r="FF57" s="110"/>
      <c r="FG57" s="110"/>
      <c r="FH57" s="110"/>
      <c r="FI57" s="110"/>
      <c r="FJ57" s="110"/>
      <c r="FK57" s="110"/>
      <c r="FL57" s="110"/>
      <c r="FM57" s="110"/>
      <c r="FN57" s="110"/>
      <c r="FP57" s="110"/>
      <c r="FQ57" s="110"/>
      <c r="FR57" s="110"/>
      <c r="FS57" s="110"/>
      <c r="FT57" s="110"/>
      <c r="FU57" s="110"/>
      <c r="FV57" s="110"/>
      <c r="FW57" s="110"/>
      <c r="FX57" s="110"/>
      <c r="FY57" s="110"/>
      <c r="FZ57" s="110"/>
      <c r="GA57" s="110"/>
      <c r="GB57" s="110"/>
    </row>
    <row r="58" spans="2:184" s="108" customFormat="1" hidden="1" x14ac:dyDescent="0.3">
      <c r="B58" s="117" t="s">
        <v>37</v>
      </c>
      <c r="D58" s="110"/>
      <c r="E58" s="110"/>
      <c r="F58" s="110"/>
      <c r="G58" s="110"/>
      <c r="H58" s="110"/>
      <c r="I58" s="110"/>
      <c r="J58" s="110"/>
      <c r="K58" s="110"/>
      <c r="L58" s="110"/>
      <c r="M58" s="110"/>
      <c r="N58" s="110"/>
      <c r="O58" s="110"/>
      <c r="P58" s="110"/>
      <c r="R58" s="110"/>
      <c r="S58" s="110"/>
      <c r="T58" s="110"/>
      <c r="U58" s="110"/>
      <c r="V58" s="110"/>
      <c r="W58" s="110"/>
      <c r="X58" s="110"/>
      <c r="Y58" s="110"/>
      <c r="Z58" s="110"/>
      <c r="AA58" s="110"/>
      <c r="AB58" s="110"/>
      <c r="AC58" s="110"/>
      <c r="AD58" s="110"/>
      <c r="AF58" s="110"/>
      <c r="AG58" s="110"/>
      <c r="AH58" s="110"/>
      <c r="AI58" s="110"/>
      <c r="AJ58" s="110"/>
      <c r="AK58" s="110"/>
      <c r="AL58" s="110"/>
      <c r="AM58" s="110"/>
      <c r="AN58" s="110"/>
      <c r="AO58" s="110"/>
      <c r="AP58" s="110"/>
      <c r="AQ58" s="110"/>
      <c r="AR58" s="110"/>
      <c r="AT58" s="110"/>
      <c r="AU58" s="110"/>
      <c r="AV58" s="110"/>
      <c r="AW58" s="110"/>
      <c r="AX58" s="110"/>
      <c r="AY58" s="110"/>
      <c r="AZ58" s="110"/>
      <c r="BA58" s="110"/>
      <c r="BB58" s="110"/>
      <c r="BC58" s="110"/>
      <c r="BD58" s="110"/>
      <c r="BE58" s="110"/>
      <c r="BF58" s="110"/>
      <c r="BH58" s="110"/>
      <c r="BI58" s="110"/>
      <c r="BJ58" s="110"/>
      <c r="BK58" s="110"/>
      <c r="BL58" s="110"/>
      <c r="BM58" s="110"/>
      <c r="BN58" s="110"/>
      <c r="BO58" s="110"/>
      <c r="BP58" s="110"/>
      <c r="BQ58" s="110"/>
      <c r="BR58" s="110"/>
      <c r="BS58" s="110"/>
      <c r="BT58" s="110"/>
      <c r="BV58" s="110"/>
      <c r="BW58" s="110"/>
      <c r="BX58" s="110"/>
      <c r="BY58" s="110"/>
      <c r="BZ58" s="110"/>
      <c r="CA58" s="110"/>
      <c r="CB58" s="110"/>
      <c r="CC58" s="110"/>
      <c r="CD58" s="110"/>
      <c r="CE58" s="110"/>
      <c r="CF58" s="110"/>
      <c r="CG58" s="110"/>
      <c r="CH58" s="110"/>
      <c r="CJ58" s="110"/>
      <c r="CK58" s="110"/>
      <c r="CL58" s="110"/>
      <c r="CM58" s="110"/>
      <c r="CN58" s="110"/>
      <c r="CO58" s="110"/>
      <c r="CP58" s="110"/>
      <c r="CQ58" s="110"/>
      <c r="CR58" s="110"/>
      <c r="CS58" s="110"/>
      <c r="CT58" s="110"/>
      <c r="CU58" s="110"/>
      <c r="CV58" s="110"/>
      <c r="CX58" s="110"/>
      <c r="CY58" s="110"/>
      <c r="CZ58" s="110"/>
      <c r="DA58" s="110"/>
      <c r="DB58" s="110"/>
      <c r="DC58" s="110"/>
      <c r="DD58" s="110"/>
      <c r="DE58" s="110"/>
      <c r="DF58" s="110"/>
      <c r="DG58" s="110"/>
      <c r="DH58" s="110"/>
      <c r="DI58" s="110"/>
      <c r="DJ58" s="110"/>
      <c r="DL58" s="110"/>
      <c r="DM58" s="110"/>
      <c r="DN58" s="110"/>
      <c r="DO58" s="110"/>
      <c r="DP58" s="110"/>
      <c r="DQ58" s="110"/>
      <c r="DR58" s="110"/>
      <c r="DS58" s="110"/>
      <c r="DT58" s="110"/>
      <c r="DU58" s="110"/>
      <c r="DV58" s="110"/>
      <c r="DW58" s="110"/>
      <c r="DX58" s="110"/>
      <c r="DZ58" s="110"/>
      <c r="EA58" s="110"/>
      <c r="EB58" s="110"/>
      <c r="EC58" s="110"/>
      <c r="ED58" s="110"/>
      <c r="EE58" s="110"/>
      <c r="EF58" s="110"/>
      <c r="EG58" s="110"/>
      <c r="EH58" s="110"/>
      <c r="EI58" s="110"/>
      <c r="EJ58" s="110"/>
      <c r="EK58" s="110"/>
      <c r="EL58" s="110"/>
      <c r="EN58" s="110"/>
      <c r="EO58" s="110"/>
      <c r="EP58" s="110"/>
      <c r="EQ58" s="110"/>
      <c r="ER58" s="110"/>
      <c r="ES58" s="110"/>
      <c r="ET58" s="110"/>
      <c r="EU58" s="110"/>
      <c r="EV58" s="110"/>
      <c r="EW58" s="110"/>
      <c r="EX58" s="110"/>
      <c r="EY58" s="110"/>
      <c r="EZ58" s="110"/>
      <c r="FB58" s="110"/>
      <c r="FC58" s="110"/>
      <c r="FD58" s="110"/>
      <c r="FE58" s="110"/>
      <c r="FF58" s="110"/>
      <c r="FG58" s="110"/>
      <c r="FH58" s="110"/>
      <c r="FI58" s="110"/>
      <c r="FJ58" s="110"/>
      <c r="FK58" s="110"/>
      <c r="FL58" s="110"/>
      <c r="FM58" s="110"/>
      <c r="FN58" s="110"/>
      <c r="FP58" s="110"/>
      <c r="FQ58" s="110"/>
      <c r="FR58" s="110"/>
      <c r="FS58" s="110"/>
      <c r="FT58" s="110"/>
      <c r="FU58" s="110"/>
      <c r="FV58" s="110"/>
      <c r="FW58" s="110"/>
      <c r="FX58" s="110"/>
      <c r="FY58" s="110"/>
      <c r="FZ58" s="110"/>
      <c r="GA58" s="110"/>
      <c r="GB58" s="110"/>
    </row>
    <row r="59" spans="2:184" s="108" customFormat="1" hidden="1" x14ac:dyDescent="0.3">
      <c r="B59" s="117" t="s">
        <v>37</v>
      </c>
      <c r="D59" s="110"/>
      <c r="E59" s="110"/>
      <c r="F59" s="110"/>
      <c r="G59" s="110"/>
      <c r="H59" s="110"/>
      <c r="I59" s="110"/>
      <c r="J59" s="110"/>
      <c r="K59" s="110"/>
      <c r="L59" s="110"/>
      <c r="M59" s="110"/>
      <c r="N59" s="110"/>
      <c r="O59" s="110"/>
      <c r="P59" s="110"/>
      <c r="R59" s="110"/>
      <c r="S59" s="110"/>
      <c r="T59" s="110"/>
      <c r="U59" s="110"/>
      <c r="V59" s="110"/>
      <c r="W59" s="110"/>
      <c r="X59" s="110"/>
      <c r="Y59" s="110"/>
      <c r="Z59" s="110"/>
      <c r="AA59" s="110"/>
      <c r="AB59" s="110"/>
      <c r="AC59" s="110"/>
      <c r="AD59" s="110"/>
      <c r="AF59" s="110"/>
      <c r="AG59" s="110"/>
      <c r="AH59" s="110"/>
      <c r="AI59" s="110"/>
      <c r="AJ59" s="110"/>
      <c r="AK59" s="110"/>
      <c r="AL59" s="110"/>
      <c r="AM59" s="110"/>
      <c r="AN59" s="110"/>
      <c r="AO59" s="110"/>
      <c r="AP59" s="110"/>
      <c r="AQ59" s="110"/>
      <c r="AR59" s="110"/>
      <c r="AT59" s="110"/>
      <c r="AU59" s="110"/>
      <c r="AV59" s="110"/>
      <c r="AW59" s="110"/>
      <c r="AX59" s="110"/>
      <c r="AY59" s="110"/>
      <c r="AZ59" s="110"/>
      <c r="BA59" s="110"/>
      <c r="BB59" s="110"/>
      <c r="BC59" s="110"/>
      <c r="BD59" s="110"/>
      <c r="BE59" s="110"/>
      <c r="BF59" s="110"/>
      <c r="BH59" s="110"/>
      <c r="BI59" s="110"/>
      <c r="BJ59" s="110"/>
      <c r="BK59" s="110"/>
      <c r="BL59" s="110"/>
      <c r="BM59" s="110"/>
      <c r="BN59" s="110"/>
      <c r="BO59" s="110"/>
      <c r="BP59" s="110"/>
      <c r="BQ59" s="110"/>
      <c r="BR59" s="110"/>
      <c r="BS59" s="110"/>
      <c r="BT59" s="110"/>
      <c r="BV59" s="110"/>
      <c r="BW59" s="110"/>
      <c r="BX59" s="110"/>
      <c r="BY59" s="110"/>
      <c r="BZ59" s="110"/>
      <c r="CA59" s="110"/>
      <c r="CB59" s="110"/>
      <c r="CC59" s="110"/>
      <c r="CD59" s="110"/>
      <c r="CE59" s="110"/>
      <c r="CF59" s="110"/>
      <c r="CG59" s="110"/>
      <c r="CH59" s="110"/>
      <c r="CJ59" s="110"/>
      <c r="CK59" s="110"/>
      <c r="CL59" s="110"/>
      <c r="CM59" s="110"/>
      <c r="CN59" s="110"/>
      <c r="CO59" s="110"/>
      <c r="CP59" s="110"/>
      <c r="CQ59" s="110"/>
      <c r="CR59" s="110"/>
      <c r="CS59" s="110"/>
      <c r="CT59" s="110"/>
      <c r="CU59" s="110"/>
      <c r="CV59" s="110"/>
      <c r="CX59" s="110"/>
      <c r="CY59" s="110"/>
      <c r="CZ59" s="110"/>
      <c r="DA59" s="110"/>
      <c r="DB59" s="110"/>
      <c r="DC59" s="110"/>
      <c r="DD59" s="110"/>
      <c r="DE59" s="110"/>
      <c r="DF59" s="110"/>
      <c r="DG59" s="110"/>
      <c r="DH59" s="110"/>
      <c r="DI59" s="110"/>
      <c r="DJ59" s="110"/>
      <c r="DL59" s="110"/>
      <c r="DM59" s="110"/>
      <c r="DN59" s="110"/>
      <c r="DO59" s="110"/>
      <c r="DP59" s="110"/>
      <c r="DQ59" s="110"/>
      <c r="DR59" s="110"/>
      <c r="DS59" s="110"/>
      <c r="DT59" s="110"/>
      <c r="DU59" s="110"/>
      <c r="DV59" s="110"/>
      <c r="DW59" s="110"/>
      <c r="DX59" s="110"/>
      <c r="DZ59" s="110"/>
      <c r="EA59" s="110"/>
      <c r="EB59" s="110"/>
      <c r="EC59" s="110"/>
      <c r="ED59" s="110"/>
      <c r="EE59" s="110"/>
      <c r="EF59" s="110"/>
      <c r="EG59" s="110"/>
      <c r="EH59" s="110"/>
      <c r="EI59" s="110"/>
      <c r="EJ59" s="110"/>
      <c r="EK59" s="110"/>
      <c r="EL59" s="110"/>
      <c r="EN59" s="110"/>
      <c r="EO59" s="110"/>
      <c r="EP59" s="110"/>
      <c r="EQ59" s="110"/>
      <c r="ER59" s="110"/>
      <c r="ES59" s="110"/>
      <c r="ET59" s="110"/>
      <c r="EU59" s="110"/>
      <c r="EV59" s="110"/>
      <c r="EW59" s="110"/>
      <c r="EX59" s="110"/>
      <c r="EY59" s="110"/>
      <c r="EZ59" s="110"/>
      <c r="FB59" s="110"/>
      <c r="FC59" s="110"/>
      <c r="FD59" s="110"/>
      <c r="FE59" s="110"/>
      <c r="FF59" s="110"/>
      <c r="FG59" s="110"/>
      <c r="FH59" s="110"/>
      <c r="FI59" s="110"/>
      <c r="FJ59" s="110"/>
      <c r="FK59" s="110"/>
      <c r="FL59" s="110"/>
      <c r="FM59" s="110"/>
      <c r="FN59" s="110"/>
      <c r="FP59" s="110"/>
      <c r="FQ59" s="110"/>
      <c r="FR59" s="110"/>
      <c r="FS59" s="110"/>
      <c r="FT59" s="110"/>
      <c r="FU59" s="110"/>
      <c r="FV59" s="110"/>
      <c r="FW59" s="110"/>
      <c r="FX59" s="110"/>
      <c r="FY59" s="110"/>
      <c r="FZ59" s="110"/>
      <c r="GA59" s="110"/>
      <c r="GB59" s="110"/>
    </row>
    <row r="60" spans="2:184" s="108" customFormat="1" hidden="1" x14ac:dyDescent="0.3">
      <c r="B60" s="117" t="s">
        <v>37</v>
      </c>
      <c r="D60" s="110"/>
      <c r="E60" s="110"/>
      <c r="F60" s="110"/>
      <c r="G60" s="110"/>
      <c r="H60" s="110"/>
      <c r="I60" s="110"/>
      <c r="J60" s="110"/>
      <c r="K60" s="110"/>
      <c r="L60" s="110"/>
      <c r="M60" s="110"/>
      <c r="N60" s="110"/>
      <c r="O60" s="110"/>
      <c r="P60" s="110"/>
      <c r="R60" s="110"/>
      <c r="S60" s="110"/>
      <c r="T60" s="110"/>
      <c r="U60" s="110"/>
      <c r="V60" s="110"/>
      <c r="W60" s="110"/>
      <c r="X60" s="110"/>
      <c r="Y60" s="110"/>
      <c r="Z60" s="110"/>
      <c r="AA60" s="110"/>
      <c r="AB60" s="110"/>
      <c r="AC60" s="110"/>
      <c r="AD60" s="110"/>
      <c r="AF60" s="110"/>
      <c r="AG60" s="110"/>
      <c r="AH60" s="110"/>
      <c r="AI60" s="110"/>
      <c r="AJ60" s="110"/>
      <c r="AK60" s="110"/>
      <c r="AL60" s="110"/>
      <c r="AM60" s="110"/>
      <c r="AN60" s="110"/>
      <c r="AO60" s="110"/>
      <c r="AP60" s="110"/>
      <c r="AQ60" s="110"/>
      <c r="AR60" s="110"/>
      <c r="AT60" s="110"/>
      <c r="AU60" s="110"/>
      <c r="AV60" s="110"/>
      <c r="AW60" s="110"/>
      <c r="AX60" s="110"/>
      <c r="AY60" s="110"/>
      <c r="AZ60" s="110"/>
      <c r="BA60" s="110"/>
      <c r="BB60" s="110"/>
      <c r="BC60" s="110"/>
      <c r="BD60" s="110"/>
      <c r="BE60" s="110"/>
      <c r="BF60" s="110"/>
      <c r="BH60" s="110"/>
      <c r="BI60" s="110"/>
      <c r="BJ60" s="110"/>
      <c r="BK60" s="110"/>
      <c r="BL60" s="110"/>
      <c r="BM60" s="110"/>
      <c r="BN60" s="110"/>
      <c r="BO60" s="110"/>
      <c r="BP60" s="110"/>
      <c r="BQ60" s="110"/>
      <c r="BR60" s="110"/>
      <c r="BS60" s="110"/>
      <c r="BT60" s="110"/>
      <c r="BV60" s="110"/>
      <c r="BW60" s="110"/>
      <c r="BX60" s="110"/>
      <c r="BY60" s="110"/>
      <c r="BZ60" s="110"/>
      <c r="CA60" s="110"/>
      <c r="CB60" s="110"/>
      <c r="CC60" s="110"/>
      <c r="CD60" s="110"/>
      <c r="CE60" s="110"/>
      <c r="CF60" s="110"/>
      <c r="CG60" s="110"/>
      <c r="CH60" s="110"/>
      <c r="CJ60" s="110"/>
      <c r="CK60" s="110"/>
      <c r="CL60" s="110"/>
      <c r="CM60" s="110"/>
      <c r="CN60" s="110"/>
      <c r="CO60" s="110"/>
      <c r="CP60" s="110"/>
      <c r="CQ60" s="110"/>
      <c r="CR60" s="110"/>
      <c r="CS60" s="110"/>
      <c r="CT60" s="110"/>
      <c r="CU60" s="110"/>
      <c r="CV60" s="110"/>
      <c r="CX60" s="110"/>
      <c r="CY60" s="110"/>
      <c r="CZ60" s="110"/>
      <c r="DA60" s="110"/>
      <c r="DB60" s="110"/>
      <c r="DC60" s="110"/>
      <c r="DD60" s="110"/>
      <c r="DE60" s="110"/>
      <c r="DF60" s="110"/>
      <c r="DG60" s="110"/>
      <c r="DH60" s="110"/>
      <c r="DI60" s="110"/>
      <c r="DJ60" s="110"/>
      <c r="DL60" s="110"/>
      <c r="DM60" s="110"/>
      <c r="DN60" s="110"/>
      <c r="DO60" s="110"/>
      <c r="DP60" s="110"/>
      <c r="DQ60" s="110"/>
      <c r="DR60" s="110"/>
      <c r="DS60" s="110"/>
      <c r="DT60" s="110"/>
      <c r="DU60" s="110"/>
      <c r="DV60" s="110"/>
      <c r="DW60" s="110"/>
      <c r="DX60" s="110"/>
      <c r="DZ60" s="110"/>
      <c r="EA60" s="110"/>
      <c r="EB60" s="110"/>
      <c r="EC60" s="110"/>
      <c r="ED60" s="110"/>
      <c r="EE60" s="110"/>
      <c r="EF60" s="110"/>
      <c r="EG60" s="110"/>
      <c r="EH60" s="110"/>
      <c r="EI60" s="110"/>
      <c r="EJ60" s="110"/>
      <c r="EK60" s="110"/>
      <c r="EL60" s="110"/>
      <c r="EN60" s="110"/>
      <c r="EO60" s="110"/>
      <c r="EP60" s="110"/>
      <c r="EQ60" s="110"/>
      <c r="ER60" s="110"/>
      <c r="ES60" s="110"/>
      <c r="ET60" s="110"/>
      <c r="EU60" s="110"/>
      <c r="EV60" s="110"/>
      <c r="EW60" s="110"/>
      <c r="EX60" s="110"/>
      <c r="EY60" s="110"/>
      <c r="EZ60" s="110"/>
      <c r="FB60" s="110"/>
      <c r="FC60" s="110"/>
      <c r="FD60" s="110"/>
      <c r="FE60" s="110"/>
      <c r="FF60" s="110"/>
      <c r="FG60" s="110"/>
      <c r="FH60" s="110"/>
      <c r="FI60" s="110"/>
      <c r="FJ60" s="110"/>
      <c r="FK60" s="110"/>
      <c r="FL60" s="110"/>
      <c r="FM60" s="110"/>
      <c r="FN60" s="110"/>
      <c r="FP60" s="110"/>
      <c r="FQ60" s="110"/>
      <c r="FR60" s="110"/>
      <c r="FS60" s="110"/>
      <c r="FT60" s="110"/>
      <c r="FU60" s="110"/>
      <c r="FV60" s="110"/>
      <c r="FW60" s="110"/>
      <c r="FX60" s="110"/>
      <c r="FY60" s="110"/>
      <c r="FZ60" s="110"/>
      <c r="GA60" s="110"/>
      <c r="GB60" s="110"/>
    </row>
    <row r="61" spans="2:184" s="108" customFormat="1" hidden="1" x14ac:dyDescent="0.3">
      <c r="B61" s="117" t="s">
        <v>37</v>
      </c>
      <c r="D61" s="110"/>
      <c r="E61" s="110"/>
      <c r="F61" s="110"/>
      <c r="G61" s="110"/>
      <c r="H61" s="110"/>
      <c r="I61" s="110"/>
      <c r="J61" s="110"/>
      <c r="K61" s="110"/>
      <c r="L61" s="110"/>
      <c r="M61" s="110"/>
      <c r="N61" s="110"/>
      <c r="O61" s="110"/>
      <c r="P61" s="110"/>
      <c r="R61" s="110"/>
      <c r="S61" s="110"/>
      <c r="T61" s="110"/>
      <c r="U61" s="110"/>
      <c r="V61" s="110"/>
      <c r="W61" s="110"/>
      <c r="X61" s="110"/>
      <c r="Y61" s="110"/>
      <c r="Z61" s="110"/>
      <c r="AA61" s="110"/>
      <c r="AB61" s="110"/>
      <c r="AC61" s="110"/>
      <c r="AD61" s="110"/>
      <c r="AF61" s="110"/>
      <c r="AG61" s="110"/>
      <c r="AH61" s="110"/>
      <c r="AI61" s="110"/>
      <c r="AJ61" s="110"/>
      <c r="AK61" s="110"/>
      <c r="AL61" s="110"/>
      <c r="AM61" s="110"/>
      <c r="AN61" s="110"/>
      <c r="AO61" s="110"/>
      <c r="AP61" s="110"/>
      <c r="AQ61" s="110"/>
      <c r="AR61" s="110"/>
      <c r="AT61" s="110"/>
      <c r="AU61" s="110"/>
      <c r="AV61" s="110"/>
      <c r="AW61" s="110"/>
      <c r="AX61" s="110"/>
      <c r="AY61" s="110"/>
      <c r="AZ61" s="110"/>
      <c r="BA61" s="110"/>
      <c r="BB61" s="110"/>
      <c r="BC61" s="110"/>
      <c r="BD61" s="110"/>
      <c r="BE61" s="110"/>
      <c r="BF61" s="110"/>
      <c r="BH61" s="110"/>
      <c r="BI61" s="110"/>
      <c r="BJ61" s="110"/>
      <c r="BK61" s="110"/>
      <c r="BL61" s="110"/>
      <c r="BM61" s="110"/>
      <c r="BN61" s="110"/>
      <c r="BO61" s="110"/>
      <c r="BP61" s="110"/>
      <c r="BQ61" s="110"/>
      <c r="BR61" s="110"/>
      <c r="BS61" s="110"/>
      <c r="BT61" s="110"/>
      <c r="BV61" s="110"/>
      <c r="BW61" s="110"/>
      <c r="BX61" s="110"/>
      <c r="BY61" s="110"/>
      <c r="BZ61" s="110"/>
      <c r="CA61" s="110"/>
      <c r="CB61" s="110"/>
      <c r="CC61" s="110"/>
      <c r="CD61" s="110"/>
      <c r="CE61" s="110"/>
      <c r="CF61" s="110"/>
      <c r="CG61" s="110"/>
      <c r="CH61" s="110"/>
      <c r="CJ61" s="110"/>
      <c r="CK61" s="110"/>
      <c r="CL61" s="110"/>
      <c r="CM61" s="110"/>
      <c r="CN61" s="110"/>
      <c r="CO61" s="110"/>
      <c r="CP61" s="110"/>
      <c r="CQ61" s="110"/>
      <c r="CR61" s="110"/>
      <c r="CS61" s="110"/>
      <c r="CT61" s="110"/>
      <c r="CU61" s="110"/>
      <c r="CV61" s="110"/>
      <c r="CX61" s="110"/>
      <c r="CY61" s="110"/>
      <c r="CZ61" s="110"/>
      <c r="DA61" s="110"/>
      <c r="DB61" s="110"/>
      <c r="DC61" s="110"/>
      <c r="DD61" s="110"/>
      <c r="DE61" s="110"/>
      <c r="DF61" s="110"/>
      <c r="DG61" s="110"/>
      <c r="DH61" s="110"/>
      <c r="DI61" s="110"/>
      <c r="DJ61" s="110"/>
      <c r="DL61" s="110"/>
      <c r="DM61" s="110"/>
      <c r="DN61" s="110"/>
      <c r="DO61" s="110"/>
      <c r="DP61" s="110"/>
      <c r="DQ61" s="110"/>
      <c r="DR61" s="110"/>
      <c r="DS61" s="110"/>
      <c r="DT61" s="110"/>
      <c r="DU61" s="110"/>
      <c r="DV61" s="110"/>
      <c r="DW61" s="110"/>
      <c r="DX61" s="110"/>
      <c r="DZ61" s="110"/>
      <c r="EA61" s="110"/>
      <c r="EB61" s="110"/>
      <c r="EC61" s="110"/>
      <c r="ED61" s="110"/>
      <c r="EE61" s="110"/>
      <c r="EF61" s="110"/>
      <c r="EG61" s="110"/>
      <c r="EH61" s="110"/>
      <c r="EI61" s="110"/>
      <c r="EJ61" s="110"/>
      <c r="EK61" s="110"/>
      <c r="EL61" s="110"/>
      <c r="EN61" s="110"/>
      <c r="EO61" s="110"/>
      <c r="EP61" s="110"/>
      <c r="EQ61" s="110"/>
      <c r="ER61" s="110"/>
      <c r="ES61" s="110"/>
      <c r="ET61" s="110"/>
      <c r="EU61" s="110"/>
      <c r="EV61" s="110"/>
      <c r="EW61" s="110"/>
      <c r="EX61" s="110"/>
      <c r="EY61" s="110"/>
      <c r="EZ61" s="110"/>
      <c r="FB61" s="110"/>
      <c r="FC61" s="110"/>
      <c r="FD61" s="110"/>
      <c r="FE61" s="110"/>
      <c r="FF61" s="110"/>
      <c r="FG61" s="110"/>
      <c r="FH61" s="110"/>
      <c r="FI61" s="110"/>
      <c r="FJ61" s="110"/>
      <c r="FK61" s="110"/>
      <c r="FL61" s="110"/>
      <c r="FM61" s="110"/>
      <c r="FN61" s="110"/>
      <c r="FP61" s="110"/>
      <c r="FQ61" s="110"/>
      <c r="FR61" s="110"/>
      <c r="FS61" s="110"/>
      <c r="FT61" s="110"/>
      <c r="FU61" s="110"/>
      <c r="FV61" s="110"/>
      <c r="FW61" s="110"/>
      <c r="FX61" s="110"/>
      <c r="FY61" s="110"/>
      <c r="FZ61" s="110"/>
      <c r="GA61" s="110"/>
      <c r="GB61" s="110"/>
    </row>
    <row r="62" spans="2:184" s="108" customFormat="1" hidden="1" x14ac:dyDescent="0.3">
      <c r="B62" s="117" t="s">
        <v>37</v>
      </c>
      <c r="D62" s="110"/>
      <c r="E62" s="110"/>
      <c r="F62" s="110"/>
      <c r="G62" s="110"/>
      <c r="H62" s="110"/>
      <c r="I62" s="110"/>
      <c r="J62" s="110"/>
      <c r="K62" s="110"/>
      <c r="L62" s="110"/>
      <c r="M62" s="110"/>
      <c r="N62" s="110"/>
      <c r="O62" s="110"/>
      <c r="P62" s="110"/>
      <c r="R62" s="110"/>
      <c r="S62" s="110"/>
      <c r="T62" s="110"/>
      <c r="U62" s="110"/>
      <c r="V62" s="110"/>
      <c r="W62" s="110"/>
      <c r="X62" s="110"/>
      <c r="Y62" s="110"/>
      <c r="Z62" s="110"/>
      <c r="AA62" s="110"/>
      <c r="AB62" s="110"/>
      <c r="AC62" s="110"/>
      <c r="AD62" s="110"/>
      <c r="AF62" s="110"/>
      <c r="AG62" s="110"/>
      <c r="AH62" s="110"/>
      <c r="AI62" s="110"/>
      <c r="AJ62" s="110"/>
      <c r="AK62" s="110"/>
      <c r="AL62" s="110"/>
      <c r="AM62" s="110"/>
      <c r="AN62" s="110"/>
      <c r="AO62" s="110"/>
      <c r="AP62" s="110"/>
      <c r="AQ62" s="110"/>
      <c r="AR62" s="110"/>
      <c r="AT62" s="110"/>
      <c r="AU62" s="110"/>
      <c r="AV62" s="110"/>
      <c r="AW62" s="110"/>
      <c r="AX62" s="110"/>
      <c r="AY62" s="110"/>
      <c r="AZ62" s="110"/>
      <c r="BA62" s="110"/>
      <c r="BB62" s="110"/>
      <c r="BC62" s="110"/>
      <c r="BD62" s="110"/>
      <c r="BE62" s="110"/>
      <c r="BF62" s="110"/>
      <c r="BH62" s="110"/>
      <c r="BI62" s="110"/>
      <c r="BJ62" s="110"/>
      <c r="BK62" s="110"/>
      <c r="BL62" s="110"/>
      <c r="BM62" s="110"/>
      <c r="BN62" s="110"/>
      <c r="BO62" s="110"/>
      <c r="BP62" s="110"/>
      <c r="BQ62" s="110"/>
      <c r="BR62" s="110"/>
      <c r="BS62" s="110"/>
      <c r="BT62" s="110"/>
      <c r="BV62" s="110"/>
      <c r="BW62" s="110"/>
      <c r="BX62" s="110"/>
      <c r="BY62" s="110"/>
      <c r="BZ62" s="110"/>
      <c r="CA62" s="110"/>
      <c r="CB62" s="110"/>
      <c r="CC62" s="110"/>
      <c r="CD62" s="110"/>
      <c r="CE62" s="110"/>
      <c r="CF62" s="110"/>
      <c r="CG62" s="110"/>
      <c r="CH62" s="110"/>
      <c r="CJ62" s="110"/>
      <c r="CK62" s="110"/>
      <c r="CL62" s="110"/>
      <c r="CM62" s="110"/>
      <c r="CN62" s="110"/>
      <c r="CO62" s="110"/>
      <c r="CP62" s="110"/>
      <c r="CQ62" s="110"/>
      <c r="CR62" s="110"/>
      <c r="CS62" s="110"/>
      <c r="CT62" s="110"/>
      <c r="CU62" s="110"/>
      <c r="CV62" s="110"/>
      <c r="CX62" s="110"/>
      <c r="CY62" s="110"/>
      <c r="CZ62" s="110"/>
      <c r="DA62" s="110"/>
      <c r="DB62" s="110"/>
      <c r="DC62" s="110"/>
      <c r="DD62" s="110"/>
      <c r="DE62" s="110"/>
      <c r="DF62" s="110"/>
      <c r="DG62" s="110"/>
      <c r="DH62" s="110"/>
      <c r="DI62" s="110"/>
      <c r="DJ62" s="110"/>
      <c r="DL62" s="110"/>
      <c r="DM62" s="110"/>
      <c r="DN62" s="110"/>
      <c r="DO62" s="110"/>
      <c r="DP62" s="110"/>
      <c r="DQ62" s="110"/>
      <c r="DR62" s="110"/>
      <c r="DS62" s="110"/>
      <c r="DT62" s="110"/>
      <c r="DU62" s="110"/>
      <c r="DV62" s="110"/>
      <c r="DW62" s="110"/>
      <c r="DX62" s="110"/>
      <c r="DZ62" s="110"/>
      <c r="EA62" s="110"/>
      <c r="EB62" s="110"/>
      <c r="EC62" s="110"/>
      <c r="ED62" s="110"/>
      <c r="EE62" s="110"/>
      <c r="EF62" s="110"/>
      <c r="EG62" s="110"/>
      <c r="EH62" s="110"/>
      <c r="EI62" s="110"/>
      <c r="EJ62" s="110"/>
      <c r="EK62" s="110"/>
      <c r="EL62" s="110"/>
      <c r="EN62" s="110"/>
      <c r="EO62" s="110"/>
      <c r="EP62" s="110"/>
      <c r="EQ62" s="110"/>
      <c r="ER62" s="110"/>
      <c r="ES62" s="110"/>
      <c r="ET62" s="110"/>
      <c r="EU62" s="110"/>
      <c r="EV62" s="110"/>
      <c r="EW62" s="110"/>
      <c r="EX62" s="110"/>
      <c r="EY62" s="110"/>
      <c r="EZ62" s="110"/>
      <c r="FB62" s="110"/>
      <c r="FC62" s="110"/>
      <c r="FD62" s="110"/>
      <c r="FE62" s="110"/>
      <c r="FF62" s="110"/>
      <c r="FG62" s="110"/>
      <c r="FH62" s="110"/>
      <c r="FI62" s="110"/>
      <c r="FJ62" s="110"/>
      <c r="FK62" s="110"/>
      <c r="FL62" s="110"/>
      <c r="FM62" s="110"/>
      <c r="FN62" s="110"/>
      <c r="FP62" s="110"/>
      <c r="FQ62" s="110"/>
      <c r="FR62" s="110"/>
      <c r="FS62" s="110"/>
      <c r="FT62" s="110"/>
      <c r="FU62" s="110"/>
      <c r="FV62" s="110"/>
      <c r="FW62" s="110"/>
      <c r="FX62" s="110"/>
      <c r="FY62" s="110"/>
      <c r="FZ62" s="110"/>
      <c r="GA62" s="110"/>
      <c r="GB62" s="110"/>
    </row>
    <row r="63" spans="2:184" s="108" customFormat="1" hidden="1" x14ac:dyDescent="0.3">
      <c r="B63" s="117" t="s">
        <v>37</v>
      </c>
      <c r="D63" s="110"/>
      <c r="E63" s="110"/>
      <c r="F63" s="110"/>
      <c r="G63" s="110"/>
      <c r="H63" s="110"/>
      <c r="I63" s="110"/>
      <c r="J63" s="110"/>
      <c r="K63" s="110"/>
      <c r="L63" s="110"/>
      <c r="M63" s="110"/>
      <c r="N63" s="110"/>
      <c r="O63" s="110"/>
      <c r="P63" s="110"/>
      <c r="R63" s="110"/>
      <c r="S63" s="110"/>
      <c r="T63" s="110"/>
      <c r="U63" s="110"/>
      <c r="V63" s="110"/>
      <c r="W63" s="110"/>
      <c r="X63" s="110"/>
      <c r="Y63" s="110"/>
      <c r="Z63" s="110"/>
      <c r="AA63" s="110"/>
      <c r="AB63" s="110"/>
      <c r="AC63" s="110"/>
      <c r="AD63" s="110"/>
      <c r="AF63" s="110"/>
      <c r="AG63" s="110"/>
      <c r="AH63" s="110"/>
      <c r="AI63" s="110"/>
      <c r="AJ63" s="110"/>
      <c r="AK63" s="110"/>
      <c r="AL63" s="110"/>
      <c r="AM63" s="110"/>
      <c r="AN63" s="110"/>
      <c r="AO63" s="110"/>
      <c r="AP63" s="110"/>
      <c r="AQ63" s="110"/>
      <c r="AR63" s="110"/>
      <c r="AT63" s="110"/>
      <c r="AU63" s="110"/>
      <c r="AV63" s="110"/>
      <c r="AW63" s="110"/>
      <c r="AX63" s="110"/>
      <c r="AY63" s="110"/>
      <c r="AZ63" s="110"/>
      <c r="BA63" s="110"/>
      <c r="BB63" s="110"/>
      <c r="BC63" s="110"/>
      <c r="BD63" s="110"/>
      <c r="BE63" s="110"/>
      <c r="BF63" s="110"/>
      <c r="BH63" s="110"/>
      <c r="BI63" s="110"/>
      <c r="BJ63" s="110"/>
      <c r="BK63" s="110"/>
      <c r="BL63" s="110"/>
      <c r="BM63" s="110"/>
      <c r="BN63" s="110"/>
      <c r="BO63" s="110"/>
      <c r="BP63" s="110"/>
      <c r="BQ63" s="110"/>
      <c r="BR63" s="110"/>
      <c r="BS63" s="110"/>
      <c r="BT63" s="110"/>
      <c r="BV63" s="110"/>
      <c r="BW63" s="110"/>
      <c r="BX63" s="110"/>
      <c r="BY63" s="110"/>
      <c r="BZ63" s="110"/>
      <c r="CA63" s="110"/>
      <c r="CB63" s="110"/>
      <c r="CC63" s="110"/>
      <c r="CD63" s="110"/>
      <c r="CE63" s="110"/>
      <c r="CF63" s="110"/>
      <c r="CG63" s="110"/>
      <c r="CH63" s="110"/>
      <c r="CJ63" s="110"/>
      <c r="CK63" s="110"/>
      <c r="CL63" s="110"/>
      <c r="CM63" s="110"/>
      <c r="CN63" s="110"/>
      <c r="CO63" s="110"/>
      <c r="CP63" s="110"/>
      <c r="CQ63" s="110"/>
      <c r="CR63" s="110"/>
      <c r="CS63" s="110"/>
      <c r="CT63" s="110"/>
      <c r="CU63" s="110"/>
      <c r="CV63" s="110"/>
      <c r="CX63" s="110"/>
      <c r="CY63" s="110"/>
      <c r="CZ63" s="110"/>
      <c r="DA63" s="110"/>
      <c r="DB63" s="110"/>
      <c r="DC63" s="110"/>
      <c r="DD63" s="110"/>
      <c r="DE63" s="110"/>
      <c r="DF63" s="110"/>
      <c r="DG63" s="110"/>
      <c r="DH63" s="110"/>
      <c r="DI63" s="110"/>
      <c r="DJ63" s="110"/>
      <c r="DL63" s="110"/>
      <c r="DM63" s="110"/>
      <c r="DN63" s="110"/>
      <c r="DO63" s="110"/>
      <c r="DP63" s="110"/>
      <c r="DQ63" s="110"/>
      <c r="DR63" s="110"/>
      <c r="DS63" s="110"/>
      <c r="DT63" s="110"/>
      <c r="DU63" s="110"/>
      <c r="DV63" s="110"/>
      <c r="DW63" s="110"/>
      <c r="DX63" s="110"/>
      <c r="DZ63" s="110"/>
      <c r="EA63" s="110"/>
      <c r="EB63" s="110"/>
      <c r="EC63" s="110"/>
      <c r="ED63" s="110"/>
      <c r="EE63" s="110"/>
      <c r="EF63" s="110"/>
      <c r="EG63" s="110"/>
      <c r="EH63" s="110"/>
      <c r="EI63" s="110"/>
      <c r="EJ63" s="110"/>
      <c r="EK63" s="110"/>
      <c r="EL63" s="110"/>
      <c r="EN63" s="110"/>
      <c r="EO63" s="110"/>
      <c r="EP63" s="110"/>
      <c r="EQ63" s="110"/>
      <c r="ER63" s="110"/>
      <c r="ES63" s="110"/>
      <c r="ET63" s="110"/>
      <c r="EU63" s="110"/>
      <c r="EV63" s="110"/>
      <c r="EW63" s="110"/>
      <c r="EX63" s="110"/>
      <c r="EY63" s="110"/>
      <c r="EZ63" s="110"/>
      <c r="FB63" s="110"/>
      <c r="FC63" s="110"/>
      <c r="FD63" s="110"/>
      <c r="FE63" s="110"/>
      <c r="FF63" s="110"/>
      <c r="FG63" s="110"/>
      <c r="FH63" s="110"/>
      <c r="FI63" s="110"/>
      <c r="FJ63" s="110"/>
      <c r="FK63" s="110"/>
      <c r="FL63" s="110"/>
      <c r="FM63" s="110"/>
      <c r="FN63" s="110"/>
      <c r="FP63" s="110"/>
      <c r="FQ63" s="110"/>
      <c r="FR63" s="110"/>
      <c r="FS63" s="110"/>
      <c r="FT63" s="110"/>
      <c r="FU63" s="110"/>
      <c r="FV63" s="110"/>
      <c r="FW63" s="110"/>
      <c r="FX63" s="110"/>
      <c r="FY63" s="110"/>
      <c r="FZ63" s="110"/>
      <c r="GA63" s="110"/>
      <c r="GB63" s="110"/>
    </row>
    <row r="64" spans="2:184" s="108" customFormat="1" x14ac:dyDescent="0.3">
      <c r="B64" s="120" t="s">
        <v>16</v>
      </c>
      <c r="C64" s="114"/>
      <c r="D64" s="121" cm="1">
        <f t="array" aca="1" ref="D64" ca="1">SUM(INDIRECT(ADDRESS(savings_min_row,COLUMN())&amp;":"&amp;ADDRESS(savings_max_row,COLUMN())))</f>
        <v>4000</v>
      </c>
      <c r="E64" s="121" cm="1">
        <f t="array" aca="1" ref="E64" ca="1">SUM(INDIRECT(ADDRESS(savings_min_row,COLUMN())&amp;":"&amp;ADDRESS(savings_max_row,COLUMN())))</f>
        <v>22000</v>
      </c>
      <c r="F64" s="121" cm="1">
        <f t="array" aca="1" ref="F64" ca="1">SUM(INDIRECT(ADDRESS(savings_min_row,COLUMN())&amp;":"&amp;ADDRESS(savings_max_row,COLUMN())))</f>
        <v>19000</v>
      </c>
      <c r="G64" s="121" cm="1">
        <f t="array" aca="1" ref="G64" ca="1">SUM(INDIRECT(ADDRESS(savings_min_row,COLUMN())&amp;":"&amp;ADDRESS(savings_max_row,COLUMN())))</f>
        <v>24000</v>
      </c>
      <c r="H64" s="121" cm="1">
        <f t="array" aca="1" ref="H64" ca="1">SUM(INDIRECT(ADDRESS(savings_min_row,COLUMN())&amp;":"&amp;ADDRESS(savings_max_row,COLUMN())))</f>
        <v>14000</v>
      </c>
      <c r="I64" s="121" cm="1">
        <f t="array" aca="1" ref="I64" ca="1">SUM(INDIRECT(ADDRESS(savings_min_row,COLUMN())&amp;":"&amp;ADDRESS(savings_max_row,COLUMN())))</f>
        <v>14000</v>
      </c>
      <c r="J64" s="121" cm="1">
        <f t="array" aca="1" ref="J64" ca="1">SUM(INDIRECT(ADDRESS(savings_min_row,COLUMN())&amp;":"&amp;ADDRESS(savings_max_row,COLUMN())))</f>
        <v>14000</v>
      </c>
      <c r="K64" s="121" cm="1">
        <f t="array" aca="1" ref="K64" ca="1">SUM(INDIRECT(ADDRESS(savings_min_row,COLUMN())&amp;":"&amp;ADDRESS(savings_max_row,COLUMN())))</f>
        <v>34000</v>
      </c>
      <c r="L64" s="121" cm="1">
        <f t="array" aca="1" ref="L64" ca="1">SUM(INDIRECT(ADDRESS(savings_min_row,COLUMN())&amp;":"&amp;ADDRESS(savings_max_row,COLUMN())))</f>
        <v>9000</v>
      </c>
      <c r="M64" s="121" cm="1">
        <f t="array" aca="1" ref="M64" ca="1">SUM(INDIRECT(ADDRESS(savings_min_row,COLUMN())&amp;":"&amp;ADDRESS(savings_max_row,COLUMN())))</f>
        <v>9000</v>
      </c>
      <c r="N64" s="121" cm="1">
        <f t="array" aca="1" ref="N64" ca="1">SUM(INDIRECT(ADDRESS(savings_min_row,COLUMN())&amp;":"&amp;ADDRESS(savings_max_row,COLUMN())))</f>
        <v>24000</v>
      </c>
      <c r="O64" s="121" cm="1">
        <f t="array" aca="1" ref="O64" ca="1">SUM(INDIRECT(ADDRESS(savings_min_row,COLUMN())&amp;":"&amp;ADDRESS(savings_max_row,COLUMN())))</f>
        <v>29000</v>
      </c>
      <c r="P64" s="121" cm="1">
        <f t="array" aca="1" ref="P64" ca="1">SUM(INDIRECT(ADDRESS(savings_min_row,COLUMN())&amp;":"&amp;ADDRESS(savings_max_row,COLUMN())))</f>
        <v>216000</v>
      </c>
      <c r="R64" s="121" cm="1">
        <f t="array" aca="1" ref="R64" ca="1">SUM(INDIRECT(ADDRESS(savings_min_row,COLUMN())&amp;":"&amp;ADDRESS(savings_max_row,COLUMN())))</f>
        <v>0</v>
      </c>
      <c r="S64" s="121" cm="1">
        <f t="array" aca="1" ref="S64" ca="1">SUM(INDIRECT(ADDRESS(savings_min_row,COLUMN())&amp;":"&amp;ADDRESS(savings_max_row,COLUMN())))</f>
        <v>0</v>
      </c>
      <c r="T64" s="121" cm="1">
        <f t="array" aca="1" ref="T64" ca="1">SUM(INDIRECT(ADDRESS(savings_min_row,COLUMN())&amp;":"&amp;ADDRESS(savings_max_row,COLUMN())))</f>
        <v>0</v>
      </c>
      <c r="U64" s="121" cm="1">
        <f t="array" aca="1" ref="U64" ca="1">SUM(INDIRECT(ADDRESS(savings_min_row,COLUMN())&amp;":"&amp;ADDRESS(savings_max_row,COLUMN())))</f>
        <v>0</v>
      </c>
      <c r="V64" s="121" cm="1">
        <f t="array" aca="1" ref="V64" ca="1">SUM(INDIRECT(ADDRESS(savings_min_row,COLUMN())&amp;":"&amp;ADDRESS(savings_max_row,COLUMN())))</f>
        <v>0</v>
      </c>
      <c r="W64" s="121" cm="1">
        <f t="array" aca="1" ref="W64" ca="1">SUM(INDIRECT(ADDRESS(savings_min_row,COLUMN())&amp;":"&amp;ADDRESS(savings_max_row,COLUMN())))</f>
        <v>0</v>
      </c>
      <c r="X64" s="121" cm="1">
        <f t="array" aca="1" ref="X64" ca="1">SUM(INDIRECT(ADDRESS(savings_min_row,COLUMN())&amp;":"&amp;ADDRESS(savings_max_row,COLUMN())))</f>
        <v>0</v>
      </c>
      <c r="Y64" s="121" cm="1">
        <f t="array" aca="1" ref="Y64" ca="1">SUM(INDIRECT(ADDRESS(savings_min_row,COLUMN())&amp;":"&amp;ADDRESS(savings_max_row,COLUMN())))</f>
        <v>0</v>
      </c>
      <c r="Z64" s="121" cm="1">
        <f t="array" aca="1" ref="Z64" ca="1">SUM(INDIRECT(ADDRESS(savings_min_row,COLUMN())&amp;":"&amp;ADDRESS(savings_max_row,COLUMN())))</f>
        <v>0</v>
      </c>
      <c r="AA64" s="121" cm="1">
        <f t="array" aca="1" ref="AA64" ca="1">SUM(INDIRECT(ADDRESS(savings_min_row,COLUMN())&amp;":"&amp;ADDRESS(savings_max_row,COLUMN())))</f>
        <v>0</v>
      </c>
      <c r="AB64" s="121" cm="1">
        <f t="array" aca="1" ref="AB64" ca="1">SUM(INDIRECT(ADDRESS(savings_min_row,COLUMN())&amp;":"&amp;ADDRESS(savings_max_row,COLUMN())))</f>
        <v>0</v>
      </c>
      <c r="AC64" s="121" cm="1">
        <f t="array" aca="1" ref="AC64" ca="1">SUM(INDIRECT(ADDRESS(savings_min_row,COLUMN())&amp;":"&amp;ADDRESS(savings_max_row,COLUMN())))</f>
        <v>0</v>
      </c>
      <c r="AD64" s="121" cm="1">
        <f t="array" aca="1" ref="AD64" ca="1">SUM(INDIRECT(ADDRESS(savings_min_row,COLUMN())&amp;":"&amp;ADDRESS(savings_max_row,COLUMN())))</f>
        <v>0</v>
      </c>
      <c r="AF64" s="121" cm="1">
        <f t="array" aca="1" ref="AF64" ca="1">SUM(INDIRECT(ADDRESS(savings_min_row,COLUMN())&amp;":"&amp;ADDRESS(savings_max_row,COLUMN())))</f>
        <v>0</v>
      </c>
      <c r="AG64" s="121" cm="1">
        <f t="array" aca="1" ref="AG64" ca="1">SUM(INDIRECT(ADDRESS(savings_min_row,COLUMN())&amp;":"&amp;ADDRESS(savings_max_row,COLUMN())))</f>
        <v>0</v>
      </c>
      <c r="AH64" s="121" cm="1">
        <f t="array" aca="1" ref="AH64" ca="1">SUM(INDIRECT(ADDRESS(savings_min_row,COLUMN())&amp;":"&amp;ADDRESS(savings_max_row,COLUMN())))</f>
        <v>0</v>
      </c>
      <c r="AI64" s="121" cm="1">
        <f t="array" aca="1" ref="AI64" ca="1">SUM(INDIRECT(ADDRESS(savings_min_row,COLUMN())&amp;":"&amp;ADDRESS(savings_max_row,COLUMN())))</f>
        <v>0</v>
      </c>
      <c r="AJ64" s="121" cm="1">
        <f t="array" aca="1" ref="AJ64" ca="1">SUM(INDIRECT(ADDRESS(savings_min_row,COLUMN())&amp;":"&amp;ADDRESS(savings_max_row,COLUMN())))</f>
        <v>0</v>
      </c>
      <c r="AK64" s="121" cm="1">
        <f t="array" aca="1" ref="AK64" ca="1">SUM(INDIRECT(ADDRESS(savings_min_row,COLUMN())&amp;":"&amp;ADDRESS(savings_max_row,COLUMN())))</f>
        <v>0</v>
      </c>
      <c r="AL64" s="121" cm="1">
        <f t="array" aca="1" ref="AL64" ca="1">SUM(INDIRECT(ADDRESS(savings_min_row,COLUMN())&amp;":"&amp;ADDRESS(savings_max_row,COLUMN())))</f>
        <v>0</v>
      </c>
      <c r="AM64" s="121" cm="1">
        <f t="array" aca="1" ref="AM64" ca="1">SUM(INDIRECT(ADDRESS(savings_min_row,COLUMN())&amp;":"&amp;ADDRESS(savings_max_row,COLUMN())))</f>
        <v>0</v>
      </c>
      <c r="AN64" s="121" cm="1">
        <f t="array" aca="1" ref="AN64" ca="1">SUM(INDIRECT(ADDRESS(savings_min_row,COLUMN())&amp;":"&amp;ADDRESS(savings_max_row,COLUMN())))</f>
        <v>0</v>
      </c>
      <c r="AO64" s="121" cm="1">
        <f t="array" aca="1" ref="AO64" ca="1">SUM(INDIRECT(ADDRESS(savings_min_row,COLUMN())&amp;":"&amp;ADDRESS(savings_max_row,COLUMN())))</f>
        <v>0</v>
      </c>
      <c r="AP64" s="121" cm="1">
        <f t="array" aca="1" ref="AP64" ca="1">SUM(INDIRECT(ADDRESS(savings_min_row,COLUMN())&amp;":"&amp;ADDRESS(savings_max_row,COLUMN())))</f>
        <v>0</v>
      </c>
      <c r="AQ64" s="121" cm="1">
        <f t="array" aca="1" ref="AQ64" ca="1">SUM(INDIRECT(ADDRESS(savings_min_row,COLUMN())&amp;":"&amp;ADDRESS(savings_max_row,COLUMN())))</f>
        <v>0</v>
      </c>
      <c r="AR64" s="121" cm="1">
        <f t="array" aca="1" ref="AR64" ca="1">SUM(INDIRECT(ADDRESS(savings_min_row,COLUMN())&amp;":"&amp;ADDRESS(savings_max_row,COLUMN())))</f>
        <v>0</v>
      </c>
      <c r="AT64" s="121" cm="1">
        <f t="array" aca="1" ref="AT64" ca="1">SUM(INDIRECT(ADDRESS(savings_min_row,COLUMN())&amp;":"&amp;ADDRESS(savings_max_row,COLUMN())))</f>
        <v>0</v>
      </c>
      <c r="AU64" s="121" cm="1">
        <f t="array" aca="1" ref="AU64" ca="1">SUM(INDIRECT(ADDRESS(savings_min_row,COLUMN())&amp;":"&amp;ADDRESS(savings_max_row,COLUMN())))</f>
        <v>0</v>
      </c>
      <c r="AV64" s="121" cm="1">
        <f t="array" aca="1" ref="AV64" ca="1">SUM(INDIRECT(ADDRESS(savings_min_row,COLUMN())&amp;":"&amp;ADDRESS(savings_max_row,COLUMN())))</f>
        <v>0</v>
      </c>
      <c r="AW64" s="121" cm="1">
        <f t="array" aca="1" ref="AW64" ca="1">SUM(INDIRECT(ADDRESS(savings_min_row,COLUMN())&amp;":"&amp;ADDRESS(savings_max_row,COLUMN())))</f>
        <v>0</v>
      </c>
      <c r="AX64" s="121" cm="1">
        <f t="array" aca="1" ref="AX64" ca="1">SUM(INDIRECT(ADDRESS(savings_min_row,COLUMN())&amp;":"&amp;ADDRESS(savings_max_row,COLUMN())))</f>
        <v>0</v>
      </c>
      <c r="AY64" s="121" cm="1">
        <f t="array" aca="1" ref="AY64" ca="1">SUM(INDIRECT(ADDRESS(savings_min_row,COLUMN())&amp;":"&amp;ADDRESS(savings_max_row,COLUMN())))</f>
        <v>0</v>
      </c>
      <c r="AZ64" s="121" cm="1">
        <f t="array" aca="1" ref="AZ64" ca="1">SUM(INDIRECT(ADDRESS(savings_min_row,COLUMN())&amp;":"&amp;ADDRESS(savings_max_row,COLUMN())))</f>
        <v>0</v>
      </c>
      <c r="BA64" s="121" cm="1">
        <f t="array" aca="1" ref="BA64" ca="1">SUM(INDIRECT(ADDRESS(savings_min_row,COLUMN())&amp;":"&amp;ADDRESS(savings_max_row,COLUMN())))</f>
        <v>0</v>
      </c>
      <c r="BB64" s="121" cm="1">
        <f t="array" aca="1" ref="BB64" ca="1">SUM(INDIRECT(ADDRESS(savings_min_row,COLUMN())&amp;":"&amp;ADDRESS(savings_max_row,COLUMN())))</f>
        <v>0</v>
      </c>
      <c r="BC64" s="121" cm="1">
        <f t="array" aca="1" ref="BC64" ca="1">SUM(INDIRECT(ADDRESS(savings_min_row,COLUMN())&amp;":"&amp;ADDRESS(savings_max_row,COLUMN())))</f>
        <v>0</v>
      </c>
      <c r="BD64" s="121" cm="1">
        <f t="array" aca="1" ref="BD64" ca="1">SUM(INDIRECT(ADDRESS(savings_min_row,COLUMN())&amp;":"&amp;ADDRESS(savings_max_row,COLUMN())))</f>
        <v>0</v>
      </c>
      <c r="BE64" s="121" cm="1">
        <f t="array" aca="1" ref="BE64" ca="1">SUM(INDIRECT(ADDRESS(savings_min_row,COLUMN())&amp;":"&amp;ADDRESS(savings_max_row,COLUMN())))</f>
        <v>0</v>
      </c>
      <c r="BF64" s="121" cm="1">
        <f t="array" aca="1" ref="BF64" ca="1">SUM(INDIRECT(ADDRESS(savings_min_row,COLUMN())&amp;":"&amp;ADDRESS(savings_max_row,COLUMN())))</f>
        <v>0</v>
      </c>
      <c r="BH64" s="121" cm="1">
        <f t="array" aca="1" ref="BH64" ca="1">SUM(INDIRECT(ADDRESS(savings_min_row,COLUMN())&amp;":"&amp;ADDRESS(savings_max_row,COLUMN())))</f>
        <v>0</v>
      </c>
      <c r="BI64" s="121" cm="1">
        <f t="array" aca="1" ref="BI64" ca="1">SUM(INDIRECT(ADDRESS(savings_min_row,COLUMN())&amp;":"&amp;ADDRESS(savings_max_row,COLUMN())))</f>
        <v>0</v>
      </c>
      <c r="BJ64" s="121" cm="1">
        <f t="array" aca="1" ref="BJ64" ca="1">SUM(INDIRECT(ADDRESS(savings_min_row,COLUMN())&amp;":"&amp;ADDRESS(savings_max_row,COLUMN())))</f>
        <v>0</v>
      </c>
      <c r="BK64" s="121" cm="1">
        <f t="array" aca="1" ref="BK64" ca="1">SUM(INDIRECT(ADDRESS(savings_min_row,COLUMN())&amp;":"&amp;ADDRESS(savings_max_row,COLUMN())))</f>
        <v>0</v>
      </c>
      <c r="BL64" s="121" cm="1">
        <f t="array" aca="1" ref="BL64" ca="1">SUM(INDIRECT(ADDRESS(savings_min_row,COLUMN())&amp;":"&amp;ADDRESS(savings_max_row,COLUMN())))</f>
        <v>0</v>
      </c>
      <c r="BM64" s="121" cm="1">
        <f t="array" aca="1" ref="BM64" ca="1">SUM(INDIRECT(ADDRESS(savings_min_row,COLUMN())&amp;":"&amp;ADDRESS(savings_max_row,COLUMN())))</f>
        <v>0</v>
      </c>
      <c r="BN64" s="121" cm="1">
        <f t="array" aca="1" ref="BN64" ca="1">SUM(INDIRECT(ADDRESS(savings_min_row,COLUMN())&amp;":"&amp;ADDRESS(savings_max_row,COLUMN())))</f>
        <v>0</v>
      </c>
      <c r="BO64" s="121" cm="1">
        <f t="array" aca="1" ref="BO64" ca="1">SUM(INDIRECT(ADDRESS(savings_min_row,COLUMN())&amp;":"&amp;ADDRESS(savings_max_row,COLUMN())))</f>
        <v>0</v>
      </c>
      <c r="BP64" s="121" cm="1">
        <f t="array" aca="1" ref="BP64" ca="1">SUM(INDIRECT(ADDRESS(savings_min_row,COLUMN())&amp;":"&amp;ADDRESS(savings_max_row,COLUMN())))</f>
        <v>0</v>
      </c>
      <c r="BQ64" s="121" cm="1">
        <f t="array" aca="1" ref="BQ64" ca="1">SUM(INDIRECT(ADDRESS(savings_min_row,COLUMN())&amp;":"&amp;ADDRESS(savings_max_row,COLUMN())))</f>
        <v>0</v>
      </c>
      <c r="BR64" s="121" cm="1">
        <f t="array" aca="1" ref="BR64" ca="1">SUM(INDIRECT(ADDRESS(savings_min_row,COLUMN())&amp;":"&amp;ADDRESS(savings_max_row,COLUMN())))</f>
        <v>0</v>
      </c>
      <c r="BS64" s="121" cm="1">
        <f t="array" aca="1" ref="BS64" ca="1">SUM(INDIRECT(ADDRESS(savings_min_row,COLUMN())&amp;":"&amp;ADDRESS(savings_max_row,COLUMN())))</f>
        <v>0</v>
      </c>
      <c r="BT64" s="121" cm="1">
        <f t="array" aca="1" ref="BT64" ca="1">SUM(INDIRECT(ADDRESS(savings_min_row,COLUMN())&amp;":"&amp;ADDRESS(savings_max_row,COLUMN())))</f>
        <v>0</v>
      </c>
      <c r="BV64" s="121" cm="1">
        <f t="array" aca="1" ref="BV64" ca="1">SUM(INDIRECT(ADDRESS(savings_min_row,COLUMN())&amp;":"&amp;ADDRESS(savings_max_row,COLUMN())))</f>
        <v>0</v>
      </c>
      <c r="BW64" s="121" cm="1">
        <f t="array" aca="1" ref="BW64" ca="1">SUM(INDIRECT(ADDRESS(savings_min_row,COLUMN())&amp;":"&amp;ADDRESS(savings_max_row,COLUMN())))</f>
        <v>0</v>
      </c>
      <c r="BX64" s="121" cm="1">
        <f t="array" aca="1" ref="BX64" ca="1">SUM(INDIRECT(ADDRESS(savings_min_row,COLUMN())&amp;":"&amp;ADDRESS(savings_max_row,COLUMN())))</f>
        <v>0</v>
      </c>
      <c r="BY64" s="121" cm="1">
        <f t="array" aca="1" ref="BY64" ca="1">SUM(INDIRECT(ADDRESS(savings_min_row,COLUMN())&amp;":"&amp;ADDRESS(savings_max_row,COLUMN())))</f>
        <v>0</v>
      </c>
      <c r="BZ64" s="121" cm="1">
        <f t="array" aca="1" ref="BZ64" ca="1">SUM(INDIRECT(ADDRESS(savings_min_row,COLUMN())&amp;":"&amp;ADDRESS(savings_max_row,COLUMN())))</f>
        <v>0</v>
      </c>
      <c r="CA64" s="121" cm="1">
        <f t="array" aca="1" ref="CA64" ca="1">SUM(INDIRECT(ADDRESS(savings_min_row,COLUMN())&amp;":"&amp;ADDRESS(savings_max_row,COLUMN())))</f>
        <v>0</v>
      </c>
      <c r="CB64" s="121" cm="1">
        <f t="array" aca="1" ref="CB64" ca="1">SUM(INDIRECT(ADDRESS(savings_min_row,COLUMN())&amp;":"&amp;ADDRESS(savings_max_row,COLUMN())))</f>
        <v>0</v>
      </c>
      <c r="CC64" s="121" cm="1">
        <f t="array" aca="1" ref="CC64" ca="1">SUM(INDIRECT(ADDRESS(savings_min_row,COLUMN())&amp;":"&amp;ADDRESS(savings_max_row,COLUMN())))</f>
        <v>0</v>
      </c>
      <c r="CD64" s="121" cm="1">
        <f t="array" aca="1" ref="CD64" ca="1">SUM(INDIRECT(ADDRESS(savings_min_row,COLUMN())&amp;":"&amp;ADDRESS(savings_max_row,COLUMN())))</f>
        <v>0</v>
      </c>
      <c r="CE64" s="121" cm="1">
        <f t="array" aca="1" ref="CE64" ca="1">SUM(INDIRECT(ADDRESS(savings_min_row,COLUMN())&amp;":"&amp;ADDRESS(savings_max_row,COLUMN())))</f>
        <v>0</v>
      </c>
      <c r="CF64" s="121" cm="1">
        <f t="array" aca="1" ref="CF64" ca="1">SUM(INDIRECT(ADDRESS(savings_min_row,COLUMN())&amp;":"&amp;ADDRESS(savings_max_row,COLUMN())))</f>
        <v>0</v>
      </c>
      <c r="CG64" s="121" cm="1">
        <f t="array" aca="1" ref="CG64" ca="1">SUM(INDIRECT(ADDRESS(savings_min_row,COLUMN())&amp;":"&amp;ADDRESS(savings_max_row,COLUMN())))</f>
        <v>0</v>
      </c>
      <c r="CH64" s="121" cm="1">
        <f t="array" aca="1" ref="CH64" ca="1">SUM(INDIRECT(ADDRESS(savings_min_row,COLUMN())&amp;":"&amp;ADDRESS(savings_max_row,COLUMN())))</f>
        <v>0</v>
      </c>
      <c r="CJ64" s="121" cm="1">
        <f t="array" aca="1" ref="CJ64" ca="1">SUM(INDIRECT(ADDRESS(savings_min_row,COLUMN())&amp;":"&amp;ADDRESS(savings_max_row,COLUMN())))</f>
        <v>0</v>
      </c>
      <c r="CK64" s="121" cm="1">
        <f t="array" aca="1" ref="CK64" ca="1">SUM(INDIRECT(ADDRESS(savings_min_row,COLUMN())&amp;":"&amp;ADDRESS(savings_max_row,COLUMN())))</f>
        <v>0</v>
      </c>
      <c r="CL64" s="121" cm="1">
        <f t="array" aca="1" ref="CL64" ca="1">SUM(INDIRECT(ADDRESS(savings_min_row,COLUMN())&amp;":"&amp;ADDRESS(savings_max_row,COLUMN())))</f>
        <v>0</v>
      </c>
      <c r="CM64" s="121" cm="1">
        <f t="array" aca="1" ref="CM64" ca="1">SUM(INDIRECT(ADDRESS(savings_min_row,COLUMN())&amp;":"&amp;ADDRESS(savings_max_row,COLUMN())))</f>
        <v>0</v>
      </c>
      <c r="CN64" s="121" cm="1">
        <f t="array" aca="1" ref="CN64" ca="1">SUM(INDIRECT(ADDRESS(savings_min_row,COLUMN())&amp;":"&amp;ADDRESS(savings_max_row,COLUMN())))</f>
        <v>0</v>
      </c>
      <c r="CO64" s="121" cm="1">
        <f t="array" aca="1" ref="CO64" ca="1">SUM(INDIRECT(ADDRESS(savings_min_row,COLUMN())&amp;":"&amp;ADDRESS(savings_max_row,COLUMN())))</f>
        <v>0</v>
      </c>
      <c r="CP64" s="121" cm="1">
        <f t="array" aca="1" ref="CP64" ca="1">SUM(INDIRECT(ADDRESS(savings_min_row,COLUMN())&amp;":"&amp;ADDRESS(savings_max_row,COLUMN())))</f>
        <v>0</v>
      </c>
      <c r="CQ64" s="121" cm="1">
        <f t="array" aca="1" ref="CQ64" ca="1">SUM(INDIRECT(ADDRESS(savings_min_row,COLUMN())&amp;":"&amp;ADDRESS(savings_max_row,COLUMN())))</f>
        <v>0</v>
      </c>
      <c r="CR64" s="121" cm="1">
        <f t="array" aca="1" ref="CR64" ca="1">SUM(INDIRECT(ADDRESS(savings_min_row,COLUMN())&amp;":"&amp;ADDRESS(savings_max_row,COLUMN())))</f>
        <v>0</v>
      </c>
      <c r="CS64" s="121" cm="1">
        <f t="array" aca="1" ref="CS64" ca="1">SUM(INDIRECT(ADDRESS(savings_min_row,COLUMN())&amp;":"&amp;ADDRESS(savings_max_row,COLUMN())))</f>
        <v>0</v>
      </c>
      <c r="CT64" s="121" cm="1">
        <f t="array" aca="1" ref="CT64" ca="1">SUM(INDIRECT(ADDRESS(savings_min_row,COLUMN())&amp;":"&amp;ADDRESS(savings_max_row,COLUMN())))</f>
        <v>0</v>
      </c>
      <c r="CU64" s="121" cm="1">
        <f t="array" aca="1" ref="CU64" ca="1">SUM(INDIRECT(ADDRESS(savings_min_row,COLUMN())&amp;":"&amp;ADDRESS(savings_max_row,COLUMN())))</f>
        <v>0</v>
      </c>
      <c r="CV64" s="121" cm="1">
        <f t="array" aca="1" ref="CV64" ca="1">SUM(INDIRECT(ADDRESS(savings_min_row,COLUMN())&amp;":"&amp;ADDRESS(savings_max_row,COLUMN())))</f>
        <v>0</v>
      </c>
      <c r="CX64" s="121" cm="1">
        <f t="array" aca="1" ref="CX64" ca="1">SUM(INDIRECT(ADDRESS(savings_min_row,COLUMN())&amp;":"&amp;ADDRESS(savings_max_row,COLUMN())))</f>
        <v>0</v>
      </c>
      <c r="CY64" s="121" cm="1">
        <f t="array" aca="1" ref="CY64" ca="1">SUM(INDIRECT(ADDRESS(savings_min_row,COLUMN())&amp;":"&amp;ADDRESS(savings_max_row,COLUMN())))</f>
        <v>0</v>
      </c>
      <c r="CZ64" s="121" cm="1">
        <f t="array" aca="1" ref="CZ64" ca="1">SUM(INDIRECT(ADDRESS(savings_min_row,COLUMN())&amp;":"&amp;ADDRESS(savings_max_row,COLUMN())))</f>
        <v>0</v>
      </c>
      <c r="DA64" s="121" cm="1">
        <f t="array" aca="1" ref="DA64" ca="1">SUM(INDIRECT(ADDRESS(savings_min_row,COLUMN())&amp;":"&amp;ADDRESS(savings_max_row,COLUMN())))</f>
        <v>0</v>
      </c>
      <c r="DB64" s="121" cm="1">
        <f t="array" aca="1" ref="DB64" ca="1">SUM(INDIRECT(ADDRESS(savings_min_row,COLUMN())&amp;":"&amp;ADDRESS(savings_max_row,COLUMN())))</f>
        <v>0</v>
      </c>
      <c r="DC64" s="121" cm="1">
        <f t="array" aca="1" ref="DC64" ca="1">SUM(INDIRECT(ADDRESS(savings_min_row,COLUMN())&amp;":"&amp;ADDRESS(savings_max_row,COLUMN())))</f>
        <v>0</v>
      </c>
      <c r="DD64" s="121" cm="1">
        <f t="array" aca="1" ref="DD64" ca="1">SUM(INDIRECT(ADDRESS(savings_min_row,COLUMN())&amp;":"&amp;ADDRESS(savings_max_row,COLUMN())))</f>
        <v>0</v>
      </c>
      <c r="DE64" s="121" cm="1">
        <f t="array" aca="1" ref="DE64" ca="1">SUM(INDIRECT(ADDRESS(savings_min_row,COLUMN())&amp;":"&amp;ADDRESS(savings_max_row,COLUMN())))</f>
        <v>0</v>
      </c>
      <c r="DF64" s="121" cm="1">
        <f t="array" aca="1" ref="DF64" ca="1">SUM(INDIRECT(ADDRESS(savings_min_row,COLUMN())&amp;":"&amp;ADDRESS(savings_max_row,COLUMN())))</f>
        <v>0</v>
      </c>
      <c r="DG64" s="121" cm="1">
        <f t="array" aca="1" ref="DG64" ca="1">SUM(INDIRECT(ADDRESS(savings_min_row,COLUMN())&amp;":"&amp;ADDRESS(savings_max_row,COLUMN())))</f>
        <v>0</v>
      </c>
      <c r="DH64" s="121" cm="1">
        <f t="array" aca="1" ref="DH64" ca="1">SUM(INDIRECT(ADDRESS(savings_min_row,COLUMN())&amp;":"&amp;ADDRESS(savings_max_row,COLUMN())))</f>
        <v>0</v>
      </c>
      <c r="DI64" s="121" cm="1">
        <f t="array" aca="1" ref="DI64" ca="1">SUM(INDIRECT(ADDRESS(savings_min_row,COLUMN())&amp;":"&amp;ADDRESS(savings_max_row,COLUMN())))</f>
        <v>0</v>
      </c>
      <c r="DJ64" s="121" cm="1">
        <f t="array" aca="1" ref="DJ64" ca="1">SUM(INDIRECT(ADDRESS(savings_min_row,COLUMN())&amp;":"&amp;ADDRESS(savings_max_row,COLUMN())))</f>
        <v>0</v>
      </c>
      <c r="DL64" s="121" cm="1">
        <f t="array" aca="1" ref="DL64" ca="1">SUM(INDIRECT(ADDRESS(savings_min_row,COLUMN())&amp;":"&amp;ADDRESS(savings_max_row,COLUMN())))</f>
        <v>0</v>
      </c>
      <c r="DM64" s="121" cm="1">
        <f t="array" aca="1" ref="DM64" ca="1">SUM(INDIRECT(ADDRESS(savings_min_row,COLUMN())&amp;":"&amp;ADDRESS(savings_max_row,COLUMN())))</f>
        <v>0</v>
      </c>
      <c r="DN64" s="121" cm="1">
        <f t="array" aca="1" ref="DN64" ca="1">SUM(INDIRECT(ADDRESS(savings_min_row,COLUMN())&amp;":"&amp;ADDRESS(savings_max_row,COLUMN())))</f>
        <v>0</v>
      </c>
      <c r="DO64" s="121" cm="1">
        <f t="array" aca="1" ref="DO64" ca="1">SUM(INDIRECT(ADDRESS(savings_min_row,COLUMN())&amp;":"&amp;ADDRESS(savings_max_row,COLUMN())))</f>
        <v>0</v>
      </c>
      <c r="DP64" s="121" cm="1">
        <f t="array" aca="1" ref="DP64" ca="1">SUM(INDIRECT(ADDRESS(savings_min_row,COLUMN())&amp;":"&amp;ADDRESS(savings_max_row,COLUMN())))</f>
        <v>0</v>
      </c>
      <c r="DQ64" s="121" cm="1">
        <f t="array" aca="1" ref="DQ64" ca="1">SUM(INDIRECT(ADDRESS(savings_min_row,COLUMN())&amp;":"&amp;ADDRESS(savings_max_row,COLUMN())))</f>
        <v>0</v>
      </c>
      <c r="DR64" s="121" cm="1">
        <f t="array" aca="1" ref="DR64" ca="1">SUM(INDIRECT(ADDRESS(savings_min_row,COLUMN())&amp;":"&amp;ADDRESS(savings_max_row,COLUMN())))</f>
        <v>0</v>
      </c>
      <c r="DS64" s="121" cm="1">
        <f t="array" aca="1" ref="DS64" ca="1">SUM(INDIRECT(ADDRESS(savings_min_row,COLUMN())&amp;":"&amp;ADDRESS(savings_max_row,COLUMN())))</f>
        <v>0</v>
      </c>
      <c r="DT64" s="121" cm="1">
        <f t="array" aca="1" ref="DT64" ca="1">SUM(INDIRECT(ADDRESS(savings_min_row,COLUMN())&amp;":"&amp;ADDRESS(savings_max_row,COLUMN())))</f>
        <v>0</v>
      </c>
      <c r="DU64" s="121" cm="1">
        <f t="array" aca="1" ref="DU64" ca="1">SUM(INDIRECT(ADDRESS(savings_min_row,COLUMN())&amp;":"&amp;ADDRESS(savings_max_row,COLUMN())))</f>
        <v>0</v>
      </c>
      <c r="DV64" s="121" cm="1">
        <f t="array" aca="1" ref="DV64" ca="1">SUM(INDIRECT(ADDRESS(savings_min_row,COLUMN())&amp;":"&amp;ADDRESS(savings_max_row,COLUMN())))</f>
        <v>0</v>
      </c>
      <c r="DW64" s="121" cm="1">
        <f t="array" aca="1" ref="DW64" ca="1">SUM(INDIRECT(ADDRESS(savings_min_row,COLUMN())&amp;":"&amp;ADDRESS(savings_max_row,COLUMN())))</f>
        <v>0</v>
      </c>
      <c r="DX64" s="121" cm="1">
        <f t="array" aca="1" ref="DX64" ca="1">SUM(INDIRECT(ADDRESS(savings_min_row,COLUMN())&amp;":"&amp;ADDRESS(savings_max_row,COLUMN())))</f>
        <v>0</v>
      </c>
      <c r="DZ64" s="121" cm="1">
        <f t="array" aca="1" ref="DZ64" ca="1">SUM(INDIRECT(ADDRESS(savings_min_row,COLUMN())&amp;":"&amp;ADDRESS(savings_max_row,COLUMN())))</f>
        <v>0</v>
      </c>
      <c r="EA64" s="121" cm="1">
        <f t="array" aca="1" ref="EA64" ca="1">SUM(INDIRECT(ADDRESS(savings_min_row,COLUMN())&amp;":"&amp;ADDRESS(savings_max_row,COLUMN())))</f>
        <v>0</v>
      </c>
      <c r="EB64" s="121" cm="1">
        <f t="array" aca="1" ref="EB64" ca="1">SUM(INDIRECT(ADDRESS(savings_min_row,COLUMN())&amp;":"&amp;ADDRESS(savings_max_row,COLUMN())))</f>
        <v>0</v>
      </c>
      <c r="EC64" s="121" cm="1">
        <f t="array" aca="1" ref="EC64" ca="1">SUM(INDIRECT(ADDRESS(savings_min_row,COLUMN())&amp;":"&amp;ADDRESS(savings_max_row,COLUMN())))</f>
        <v>0</v>
      </c>
      <c r="ED64" s="121" cm="1">
        <f t="array" aca="1" ref="ED64" ca="1">SUM(INDIRECT(ADDRESS(savings_min_row,COLUMN())&amp;":"&amp;ADDRESS(savings_max_row,COLUMN())))</f>
        <v>0</v>
      </c>
      <c r="EE64" s="121" cm="1">
        <f t="array" aca="1" ref="EE64" ca="1">SUM(INDIRECT(ADDRESS(savings_min_row,COLUMN())&amp;":"&amp;ADDRESS(savings_max_row,COLUMN())))</f>
        <v>0</v>
      </c>
      <c r="EF64" s="121" cm="1">
        <f t="array" aca="1" ref="EF64" ca="1">SUM(INDIRECT(ADDRESS(savings_min_row,COLUMN())&amp;":"&amp;ADDRESS(savings_max_row,COLUMN())))</f>
        <v>0</v>
      </c>
      <c r="EG64" s="121" cm="1">
        <f t="array" aca="1" ref="EG64" ca="1">SUM(INDIRECT(ADDRESS(savings_min_row,COLUMN())&amp;":"&amp;ADDRESS(savings_max_row,COLUMN())))</f>
        <v>0</v>
      </c>
      <c r="EH64" s="121" cm="1">
        <f t="array" aca="1" ref="EH64" ca="1">SUM(INDIRECT(ADDRESS(savings_min_row,COLUMN())&amp;":"&amp;ADDRESS(savings_max_row,COLUMN())))</f>
        <v>0</v>
      </c>
      <c r="EI64" s="121" cm="1">
        <f t="array" aca="1" ref="EI64" ca="1">SUM(INDIRECT(ADDRESS(savings_min_row,COLUMN())&amp;":"&amp;ADDRESS(savings_max_row,COLUMN())))</f>
        <v>0</v>
      </c>
      <c r="EJ64" s="121" cm="1">
        <f t="array" aca="1" ref="EJ64" ca="1">SUM(INDIRECT(ADDRESS(savings_min_row,COLUMN())&amp;":"&amp;ADDRESS(savings_max_row,COLUMN())))</f>
        <v>0</v>
      </c>
      <c r="EK64" s="121" cm="1">
        <f t="array" aca="1" ref="EK64" ca="1">SUM(INDIRECT(ADDRESS(savings_min_row,COLUMN())&amp;":"&amp;ADDRESS(savings_max_row,COLUMN())))</f>
        <v>0</v>
      </c>
      <c r="EL64" s="121" cm="1">
        <f t="array" aca="1" ref="EL64" ca="1">SUM(INDIRECT(ADDRESS(savings_min_row,COLUMN())&amp;":"&amp;ADDRESS(savings_max_row,COLUMN())))</f>
        <v>0</v>
      </c>
      <c r="EN64" s="121" cm="1">
        <f t="array" aca="1" ref="EN64" ca="1">SUM(INDIRECT(ADDRESS(savings_min_row,COLUMN())&amp;":"&amp;ADDRESS(savings_max_row,COLUMN())))</f>
        <v>0</v>
      </c>
      <c r="EO64" s="121" cm="1">
        <f t="array" aca="1" ref="EO64" ca="1">SUM(INDIRECT(ADDRESS(savings_min_row,COLUMN())&amp;":"&amp;ADDRESS(savings_max_row,COLUMN())))</f>
        <v>0</v>
      </c>
      <c r="EP64" s="121" cm="1">
        <f t="array" aca="1" ref="EP64" ca="1">SUM(INDIRECT(ADDRESS(savings_min_row,COLUMN())&amp;":"&amp;ADDRESS(savings_max_row,COLUMN())))</f>
        <v>0</v>
      </c>
      <c r="EQ64" s="121" cm="1">
        <f t="array" aca="1" ref="EQ64" ca="1">SUM(INDIRECT(ADDRESS(savings_min_row,COLUMN())&amp;":"&amp;ADDRESS(savings_max_row,COLUMN())))</f>
        <v>0</v>
      </c>
      <c r="ER64" s="121" cm="1">
        <f t="array" aca="1" ref="ER64" ca="1">SUM(INDIRECT(ADDRESS(savings_min_row,COLUMN())&amp;":"&amp;ADDRESS(savings_max_row,COLUMN())))</f>
        <v>0</v>
      </c>
      <c r="ES64" s="121" cm="1">
        <f t="array" aca="1" ref="ES64" ca="1">SUM(INDIRECT(ADDRESS(savings_min_row,COLUMN())&amp;":"&amp;ADDRESS(savings_max_row,COLUMN())))</f>
        <v>0</v>
      </c>
      <c r="ET64" s="121" cm="1">
        <f t="array" aca="1" ref="ET64" ca="1">SUM(INDIRECT(ADDRESS(savings_min_row,COLUMN())&amp;":"&amp;ADDRESS(savings_max_row,COLUMN())))</f>
        <v>0</v>
      </c>
      <c r="EU64" s="121" cm="1">
        <f t="array" aca="1" ref="EU64" ca="1">SUM(INDIRECT(ADDRESS(savings_min_row,COLUMN())&amp;":"&amp;ADDRESS(savings_max_row,COLUMN())))</f>
        <v>0</v>
      </c>
      <c r="EV64" s="121" cm="1">
        <f t="array" aca="1" ref="EV64" ca="1">SUM(INDIRECT(ADDRESS(savings_min_row,COLUMN())&amp;":"&amp;ADDRESS(savings_max_row,COLUMN())))</f>
        <v>0</v>
      </c>
      <c r="EW64" s="121" cm="1">
        <f t="array" aca="1" ref="EW64" ca="1">SUM(INDIRECT(ADDRESS(savings_min_row,COLUMN())&amp;":"&amp;ADDRESS(savings_max_row,COLUMN())))</f>
        <v>0</v>
      </c>
      <c r="EX64" s="121" cm="1">
        <f t="array" aca="1" ref="EX64" ca="1">SUM(INDIRECT(ADDRESS(savings_min_row,COLUMN())&amp;":"&amp;ADDRESS(savings_max_row,COLUMN())))</f>
        <v>0</v>
      </c>
      <c r="EY64" s="121" cm="1">
        <f t="array" aca="1" ref="EY64" ca="1">SUM(INDIRECT(ADDRESS(savings_min_row,COLUMN())&amp;":"&amp;ADDRESS(savings_max_row,COLUMN())))</f>
        <v>0</v>
      </c>
      <c r="EZ64" s="121" cm="1">
        <f t="array" aca="1" ref="EZ64" ca="1">SUM(INDIRECT(ADDRESS(savings_min_row,COLUMN())&amp;":"&amp;ADDRESS(savings_max_row,COLUMN())))</f>
        <v>0</v>
      </c>
      <c r="FB64" s="121" cm="1">
        <f t="array" aca="1" ref="FB64" ca="1">SUM(INDIRECT(ADDRESS(savings_min_row,COLUMN())&amp;":"&amp;ADDRESS(savings_max_row,COLUMN())))</f>
        <v>0</v>
      </c>
      <c r="FC64" s="121" cm="1">
        <f t="array" aca="1" ref="FC64" ca="1">SUM(INDIRECT(ADDRESS(savings_min_row,COLUMN())&amp;":"&amp;ADDRESS(savings_max_row,COLUMN())))</f>
        <v>0</v>
      </c>
      <c r="FD64" s="121" cm="1">
        <f t="array" aca="1" ref="FD64" ca="1">SUM(INDIRECT(ADDRESS(savings_min_row,COLUMN())&amp;":"&amp;ADDRESS(savings_max_row,COLUMN())))</f>
        <v>0</v>
      </c>
      <c r="FE64" s="121" cm="1">
        <f t="array" aca="1" ref="FE64" ca="1">SUM(INDIRECT(ADDRESS(savings_min_row,COLUMN())&amp;":"&amp;ADDRESS(savings_max_row,COLUMN())))</f>
        <v>0</v>
      </c>
      <c r="FF64" s="121" cm="1">
        <f t="array" aca="1" ref="FF64" ca="1">SUM(INDIRECT(ADDRESS(savings_min_row,COLUMN())&amp;":"&amp;ADDRESS(savings_max_row,COLUMN())))</f>
        <v>0</v>
      </c>
      <c r="FG64" s="121" cm="1">
        <f t="array" aca="1" ref="FG64" ca="1">SUM(INDIRECT(ADDRESS(savings_min_row,COLUMN())&amp;":"&amp;ADDRESS(savings_max_row,COLUMN())))</f>
        <v>0</v>
      </c>
      <c r="FH64" s="121" cm="1">
        <f t="array" aca="1" ref="FH64" ca="1">SUM(INDIRECT(ADDRESS(savings_min_row,COLUMN())&amp;":"&amp;ADDRESS(savings_max_row,COLUMN())))</f>
        <v>0</v>
      </c>
      <c r="FI64" s="121" cm="1">
        <f t="array" aca="1" ref="FI64" ca="1">SUM(INDIRECT(ADDRESS(savings_min_row,COLUMN())&amp;":"&amp;ADDRESS(savings_max_row,COLUMN())))</f>
        <v>0</v>
      </c>
      <c r="FJ64" s="121" cm="1">
        <f t="array" aca="1" ref="FJ64" ca="1">SUM(INDIRECT(ADDRESS(savings_min_row,COLUMN())&amp;":"&amp;ADDRESS(savings_max_row,COLUMN())))</f>
        <v>0</v>
      </c>
      <c r="FK64" s="121" cm="1">
        <f t="array" aca="1" ref="FK64" ca="1">SUM(INDIRECT(ADDRESS(savings_min_row,COLUMN())&amp;":"&amp;ADDRESS(savings_max_row,COLUMN())))</f>
        <v>0</v>
      </c>
      <c r="FL64" s="121" cm="1">
        <f t="array" aca="1" ref="FL64" ca="1">SUM(INDIRECT(ADDRESS(savings_min_row,COLUMN())&amp;":"&amp;ADDRESS(savings_max_row,COLUMN())))</f>
        <v>0</v>
      </c>
      <c r="FM64" s="121" cm="1">
        <f t="array" aca="1" ref="FM64" ca="1">SUM(INDIRECT(ADDRESS(savings_min_row,COLUMN())&amp;":"&amp;ADDRESS(savings_max_row,COLUMN())))</f>
        <v>0</v>
      </c>
      <c r="FN64" s="121" cm="1">
        <f t="array" aca="1" ref="FN64" ca="1">SUM(INDIRECT(ADDRESS(savings_min_row,COLUMN())&amp;":"&amp;ADDRESS(savings_max_row,COLUMN())))</f>
        <v>0</v>
      </c>
      <c r="FP64" s="121" cm="1">
        <f t="array" aca="1" ref="FP64" ca="1">SUM(INDIRECT(ADDRESS(savings_min_row,COLUMN())&amp;":"&amp;ADDRESS(savings_max_row,COLUMN())))</f>
        <v>0</v>
      </c>
      <c r="FQ64" s="121" cm="1">
        <f t="array" aca="1" ref="FQ64" ca="1">SUM(INDIRECT(ADDRESS(savings_min_row,COLUMN())&amp;":"&amp;ADDRESS(savings_max_row,COLUMN())))</f>
        <v>0</v>
      </c>
      <c r="FR64" s="121" cm="1">
        <f t="array" aca="1" ref="FR64" ca="1">SUM(INDIRECT(ADDRESS(savings_min_row,COLUMN())&amp;":"&amp;ADDRESS(savings_max_row,COLUMN())))</f>
        <v>0</v>
      </c>
      <c r="FS64" s="121" cm="1">
        <f t="array" aca="1" ref="FS64" ca="1">SUM(INDIRECT(ADDRESS(savings_min_row,COLUMN())&amp;":"&amp;ADDRESS(savings_max_row,COLUMN())))</f>
        <v>0</v>
      </c>
      <c r="FT64" s="121" cm="1">
        <f t="array" aca="1" ref="FT64" ca="1">SUM(INDIRECT(ADDRESS(savings_min_row,COLUMN())&amp;":"&amp;ADDRESS(savings_max_row,COLUMN())))</f>
        <v>0</v>
      </c>
      <c r="FU64" s="121" cm="1">
        <f t="array" aca="1" ref="FU64" ca="1">SUM(INDIRECT(ADDRESS(savings_min_row,COLUMN())&amp;":"&amp;ADDRESS(savings_max_row,COLUMN())))</f>
        <v>0</v>
      </c>
      <c r="FV64" s="121" cm="1">
        <f t="array" aca="1" ref="FV64" ca="1">SUM(INDIRECT(ADDRESS(savings_min_row,COLUMN())&amp;":"&amp;ADDRESS(savings_max_row,COLUMN())))</f>
        <v>0</v>
      </c>
      <c r="FW64" s="121" cm="1">
        <f t="array" aca="1" ref="FW64" ca="1">SUM(INDIRECT(ADDRESS(savings_min_row,COLUMN())&amp;":"&amp;ADDRESS(savings_max_row,COLUMN())))</f>
        <v>0</v>
      </c>
      <c r="FX64" s="121" cm="1">
        <f t="array" aca="1" ref="FX64" ca="1">SUM(INDIRECT(ADDRESS(savings_min_row,COLUMN())&amp;":"&amp;ADDRESS(savings_max_row,COLUMN())))</f>
        <v>0</v>
      </c>
      <c r="FY64" s="121" cm="1">
        <f t="array" aca="1" ref="FY64" ca="1">SUM(INDIRECT(ADDRESS(savings_min_row,COLUMN())&amp;":"&amp;ADDRESS(savings_max_row,COLUMN())))</f>
        <v>0</v>
      </c>
      <c r="FZ64" s="121" cm="1">
        <f t="array" aca="1" ref="FZ64" ca="1">SUM(INDIRECT(ADDRESS(savings_min_row,COLUMN())&amp;":"&amp;ADDRESS(savings_max_row,COLUMN())))</f>
        <v>0</v>
      </c>
      <c r="GA64" s="121" cm="1">
        <f t="array" aca="1" ref="GA64" ca="1">SUM(INDIRECT(ADDRESS(savings_min_row,COLUMN())&amp;":"&amp;ADDRESS(savings_max_row,COLUMN())))</f>
        <v>0</v>
      </c>
      <c r="GB64" s="121" cm="1">
        <f t="array" aca="1" ref="GB64" ca="1">SUM(INDIRECT(ADDRESS(savings_min_row,COLUMN())&amp;":"&amp;ADDRESS(savings_max_row,COLUMN())))</f>
        <v>0</v>
      </c>
    </row>
    <row r="70" spans="4:14" x14ac:dyDescent="0.3">
      <c r="D70" s="181"/>
      <c r="E70" s="181"/>
      <c r="F70" s="181"/>
      <c r="G70" s="181"/>
      <c r="H70" s="181"/>
      <c r="I70" s="181"/>
      <c r="J70" s="181"/>
      <c r="K70" s="181"/>
      <c r="L70" s="181"/>
      <c r="M70" s="181"/>
      <c r="N70" s="181"/>
    </row>
  </sheetData>
  <mergeCells count="13">
    <mergeCell ref="BV3:CH3"/>
    <mergeCell ref="FB3:FN3"/>
    <mergeCell ref="FP3:GB3"/>
    <mergeCell ref="CJ3:CV3"/>
    <mergeCell ref="CX3:DJ3"/>
    <mergeCell ref="DL3:DX3"/>
    <mergeCell ref="DZ3:EL3"/>
    <mergeCell ref="EN3:EZ3"/>
    <mergeCell ref="D3:P3"/>
    <mergeCell ref="R3:AD3"/>
    <mergeCell ref="AF3:AR3"/>
    <mergeCell ref="AT3:BF3"/>
    <mergeCell ref="BH3:BT3"/>
  </mergeCells>
  <conditionalFormatting sqref="B9:B20">
    <cfRule type="expression" dxfId="67" priority="18">
      <formula>ROW(XEN9)&lt;=income_max_row</formula>
    </cfRule>
  </conditionalFormatting>
  <conditionalFormatting sqref="B24:B40">
    <cfRule type="expression" dxfId="66" priority="19">
      <formula>ROW(XEN24)&lt;=expenditure_max_row</formula>
    </cfRule>
  </conditionalFormatting>
  <conditionalFormatting sqref="B44:B56">
    <cfRule type="expression" dxfId="65" priority="20">
      <formula>ROW(XEN44)&lt;=savings_max_row</formula>
    </cfRule>
  </conditionalFormatting>
  <conditionalFormatting sqref="AF8:AM10 AP8:AR10 P8:P11 R8:AD20 AT8:BF20 BH8:BT20 BV8:CH20 CJ8:CV20 CX8:DJ20 DL8:DX20 DZ8:EL20 EN8:EZ20 FB8:FN20 FP8:GB20 AF11:AR20 D12:P20">
    <cfRule type="expression" dxfId="64" priority="17">
      <formula>ROW(B8)&lt;=income_max_row</formula>
    </cfRule>
  </conditionalFormatting>
  <conditionalFormatting sqref="AT24:BF40 BH24:BT40 BV24:CH40 CJ24:CV40 CX24:DJ40 DL24:DX40 DZ24:EL40 EN24:EZ40 FB24:FN40 FP24:GB40 AF24:AR40 D37:P40 R24:AD40 P35:P36 D24:P34">
    <cfRule type="expression" dxfId="63" priority="16">
      <formula>ROW(B24)&lt;=expenditure_max_row</formula>
    </cfRule>
  </conditionalFormatting>
  <conditionalFormatting sqref="R44:AD63 AF44:AR63 AT44:BF63 BH44:BT63 BV44:CH63 CJ44:CV63 CX44:DJ63 DL44:DX63 DZ44:EL63 EN44:EZ63 FB44:FN63 FP44:GB63 D44:P63">
    <cfRule type="expression" dxfId="62" priority="15">
      <formula>ROW(B44)&lt;=savings_max_row</formula>
    </cfRule>
  </conditionalFormatting>
  <conditionalFormatting sqref="AN8:AO10">
    <cfRule type="expression" dxfId="61" priority="8">
      <formula>ROW(AL8)&lt;=income_max_row</formula>
    </cfRule>
  </conditionalFormatting>
  <conditionalFormatting sqref="B8">
    <cfRule type="expression" dxfId="60" priority="7">
      <formula>ROW(XEN8)&lt;=income_max_row</formula>
    </cfRule>
  </conditionalFormatting>
  <conditionalFormatting sqref="D36:O36">
    <cfRule type="expression" dxfId="59" priority="156">
      <formula>ROW(B35)&lt;=expenditure_max_row</formula>
    </cfRule>
  </conditionalFormatting>
  <conditionalFormatting sqref="D35:O35">
    <cfRule type="expression" dxfId="58" priority="2">
      <formula>ROW(B34)&lt;=expenditure_max_row</formula>
    </cfRule>
  </conditionalFormatting>
  <conditionalFormatting sqref="D8:O11">
    <cfRule type="expression" dxfId="57" priority="1">
      <formula>ROW(B8)&lt;=income_max_row</formula>
    </cfRule>
  </conditionalFormatting>
  <conditionalFormatting sqref="R4:AD5 AF4:AR5 AT4:BF5 BH4:BT5 BV4:CH5 CJ4:CV5 CX4:DJ5 DL4:DX5 DZ4:EL5 EN4:EZ5 FB4:FN5 FP4:GB5 D4:P5">
    <cfRule type="expression" dxfId="56" priority="185" stopIfTrue="1">
      <formula>AND(D$21=0, D$41=0, D$64=0)</formula>
    </cfRule>
    <cfRule type="expression" dxfId="55" priority="186" stopIfTrue="1">
      <formula>D$5=0</formula>
    </cfRule>
    <cfRule type="expression" dxfId="54" priority="187">
      <formula>D$5&lt;0</formula>
    </cfRule>
  </conditionalFormatting>
  <pageMargins left="0.7" right="0.7" top="0.75" bottom="0.75" header="0.3" footer="0.3"/>
  <pageSetup orientation="portrait" r:id="rId1"/>
  <ignoredErrors>
    <ignoredError sqref="E4" formula="1"/>
  </ignoredErrors>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E47D8-B183-48F1-95F1-8AA568B49213}">
  <sheetPr codeName="Sheet3">
    <tabColor theme="8" tint="-0.249977111117893"/>
  </sheetPr>
  <dimension ref="B1:R72"/>
  <sheetViews>
    <sheetView showGridLines="0" zoomScale="80" zoomScaleNormal="80" workbookViewId="0">
      <pane ySplit="18" topLeftCell="A43" activePane="bottomLeft" state="frozen"/>
      <selection pane="bottomLeft" activeCell="M9" sqref="M9"/>
    </sheetView>
  </sheetViews>
  <sheetFormatPr defaultColWidth="9.109375" defaultRowHeight="14.4" x14ac:dyDescent="0.3"/>
  <cols>
    <col min="1" max="1" width="3.6640625" style="3" customWidth="1"/>
    <col min="2" max="2" width="17.44140625" style="12" bestFit="1" customWidth="1"/>
    <col min="3" max="3" width="14.5546875" style="3" customWidth="1"/>
    <col min="4" max="4" width="27.88671875" style="3" bestFit="1" customWidth="1"/>
    <col min="5" max="5" width="20.5546875" style="3" customWidth="1"/>
    <col min="6" max="6" width="48.44140625" style="3" customWidth="1"/>
    <col min="7" max="7" width="15.88671875" style="13" customWidth="1"/>
    <col min="8" max="8" width="18.6640625" style="5" customWidth="1"/>
    <col min="9" max="9" width="2.5546875" style="3" customWidth="1"/>
    <col min="10" max="10" width="2.6640625" style="3" customWidth="1"/>
    <col min="11" max="11" width="5.109375" style="34" customWidth="1"/>
    <col min="12" max="12" width="12.6640625" style="33" customWidth="1"/>
    <col min="13" max="13" width="26.109375" style="3" customWidth="1"/>
    <col min="14" max="14" width="3.109375" style="3" customWidth="1"/>
    <col min="15" max="15" width="5.77734375" style="3" customWidth="1"/>
    <col min="16" max="16" width="9.109375" style="3"/>
    <col min="17" max="17" width="4.77734375" style="3" customWidth="1"/>
    <col min="18" max="16384" width="9.109375" style="3"/>
  </cols>
  <sheetData>
    <row r="1" spans="2:18" s="2" customFormat="1" ht="47.4" customHeight="1" x14ac:dyDescent="0.3">
      <c r="B1" s="2" t="s">
        <v>38</v>
      </c>
    </row>
    <row r="2" spans="2:18" ht="95.4" customHeight="1" x14ac:dyDescent="0.3">
      <c r="B2" s="129"/>
      <c r="C2" s="129"/>
      <c r="D2" s="129"/>
      <c r="E2" s="129"/>
      <c r="F2" s="129"/>
      <c r="G2" s="129"/>
      <c r="H2" s="129"/>
      <c r="I2" s="166"/>
      <c r="J2" s="196" t="s">
        <v>270</v>
      </c>
      <c r="K2" s="196"/>
      <c r="L2" s="196"/>
      <c r="M2" s="196"/>
      <c r="N2" s="196"/>
      <c r="O2" s="196"/>
      <c r="P2" s="166"/>
    </row>
    <row r="3" spans="2:18" s="18" customFormat="1" ht="20.100000000000001" customHeight="1" x14ac:dyDescent="0.3">
      <c r="B3" s="14" t="s">
        <v>39</v>
      </c>
      <c r="C3" s="15" t="s">
        <v>40</v>
      </c>
      <c r="D3" s="15" t="s">
        <v>41</v>
      </c>
      <c r="E3" s="15" t="s">
        <v>42</v>
      </c>
      <c r="F3" s="15" t="s">
        <v>43</v>
      </c>
      <c r="G3" s="16" t="s">
        <v>44</v>
      </c>
      <c r="H3" s="17" t="s">
        <v>45</v>
      </c>
      <c r="I3" s="15"/>
      <c r="J3" s="162"/>
      <c r="K3" s="163"/>
      <c r="L3" s="194" t="s">
        <v>46</v>
      </c>
      <c r="M3" s="195"/>
      <c r="N3" s="164"/>
      <c r="O3" s="165"/>
    </row>
    <row r="4" spans="2:18" ht="14.4" customHeight="1" thickBot="1" x14ac:dyDescent="0.35">
      <c r="B4" s="19">
        <v>45294</v>
      </c>
      <c r="C4" s="20" t="s">
        <v>17</v>
      </c>
      <c r="D4" s="20" t="s">
        <v>22</v>
      </c>
      <c r="E4" s="21">
        <v>1000</v>
      </c>
      <c r="F4" s="22"/>
      <c r="G4" s="13" cm="1">
        <f t="array" ref="G4">SUMPRODUCT(TrackingTable[Amount], --(TrackingTable[Date]&lt;=TrackingTable[[#This Row],[Date]]), ((TrackingTable[Type]&lt;&gt;"Income") * (-1)) + (TrackingTable[Type]="Income"))</f>
        <v>99000</v>
      </c>
      <c r="H4" s="27">
        <f>IF(AND(TrackingTable[[#This Row],[Type]]="Income", shift_late_income_status="Active", DAY(TrackingTable[[#This Row],[Date]])&gt;=shift_late_income_starting_date),
    DATE(YEAR(TrackingTable[[#This Row],[Date]]), MONTH(TrackingTable[[#This Row],[Date]])+1, 1),
    TrackingTable[[#This Row],[Date]])</f>
        <v>45294</v>
      </c>
      <c r="I4" s="24"/>
      <c r="J4" s="25"/>
      <c r="K4" s="142"/>
      <c r="L4" s="143"/>
      <c r="M4" s="144"/>
      <c r="N4" s="144"/>
      <c r="O4" s="145"/>
    </row>
    <row r="5" spans="2:18" ht="14.4" customHeight="1" thickTop="1" thickBot="1" x14ac:dyDescent="0.35">
      <c r="B5" s="19">
        <v>45294</v>
      </c>
      <c r="C5" s="20" t="s">
        <v>12</v>
      </c>
      <c r="D5" s="20" t="s">
        <v>13</v>
      </c>
      <c r="E5" s="21">
        <v>100000</v>
      </c>
      <c r="F5" s="22" t="s">
        <v>288</v>
      </c>
      <c r="G5" s="13" cm="1">
        <f t="array" ref="G5">SUMPRODUCT(TrackingTable[Amount], --(TrackingTable[Date]&lt;=TrackingTable[[#This Row],[Date]]), ((TrackingTable[Type]&lt;&gt;"Income") * (-1)) + (TrackingTable[Type]="Income"))</f>
        <v>99000</v>
      </c>
      <c r="H5" s="27">
        <f>IF(AND(TrackingTable[[#This Row],[Type]]="Income", shift_late_income_status="Active", DAY(TrackingTable[[#This Row],[Date]])&gt;=shift_late_income_starting_date),
    DATE(YEAR(TrackingTable[[#This Row],[Date]]), MONTH(TrackingTable[[#This Row],[Date]])+1, 1),
    TrackingTable[[#This Row],[Date]])</f>
        <v>45294</v>
      </c>
      <c r="I5" s="24"/>
      <c r="J5" s="25"/>
      <c r="K5" s="142" t="e" vm="1">
        <v>#VALUE!</v>
      </c>
      <c r="L5" s="146" t="s">
        <v>47</v>
      </c>
      <c r="M5" s="176"/>
      <c r="N5" s="144"/>
      <c r="O5" s="147" t="e" vm="2">
        <v>#VALUE!</v>
      </c>
    </row>
    <row r="6" spans="2:18" ht="14.4" customHeight="1" thickTop="1" thickBot="1" x14ac:dyDescent="0.35">
      <c r="B6" s="19">
        <v>45304</v>
      </c>
      <c r="C6" s="20" t="s">
        <v>17</v>
      </c>
      <c r="D6" s="20" t="s">
        <v>19</v>
      </c>
      <c r="E6" s="21">
        <v>20000</v>
      </c>
      <c r="F6" s="22"/>
      <c r="G6" s="13" cm="1">
        <f t="array" ref="G6">SUMPRODUCT(TrackingTable[Amount], --(TrackingTable[Date]&lt;=TrackingTable[[#This Row],[Date]]), ((TrackingTable[Type]&lt;&gt;"Income") * (-1)) + (TrackingTable[Type]="Income"))</f>
        <v>78000</v>
      </c>
      <c r="H6" s="27">
        <f>IF(AND(TrackingTable[[#This Row],[Type]]="Income", shift_late_income_status="Active", DAY(TrackingTable[[#This Row],[Date]])&gt;=shift_late_income_starting_date),
    DATE(YEAR(TrackingTable[[#This Row],[Date]]), MONTH(TrackingTable[[#This Row],[Date]])+1, 1),
    TrackingTable[[#This Row],[Date]])</f>
        <v>45304</v>
      </c>
      <c r="I6" s="24"/>
      <c r="J6" s="25"/>
      <c r="K6" s="142"/>
      <c r="L6" s="146"/>
      <c r="M6" s="177"/>
      <c r="N6" s="144"/>
      <c r="O6" s="145"/>
    </row>
    <row r="7" spans="2:18" ht="14.4" customHeight="1" thickTop="1" thickBot="1" x14ac:dyDescent="0.35">
      <c r="B7" s="19">
        <v>45304</v>
      </c>
      <c r="C7" s="20" t="s">
        <v>17</v>
      </c>
      <c r="D7" s="20" t="s">
        <v>28</v>
      </c>
      <c r="E7" s="21">
        <v>1000</v>
      </c>
      <c r="F7" s="127"/>
      <c r="G7" s="13" cm="1">
        <f t="array" ref="G7">SUMPRODUCT(TrackingTable[Amount], --(TrackingTable[Date]&lt;=TrackingTable[[#This Row],[Date]]), ((TrackingTable[Type]&lt;&gt;"Income") * (-1)) + (TrackingTable[Type]="Income"))</f>
        <v>78000</v>
      </c>
      <c r="H7" s="27">
        <f>IF(AND(TrackingTable[[#This Row],[Type]]="Income", shift_late_income_status="Active", DAY(TrackingTable[[#This Row],[Date]])&gt;=shift_late_income_starting_date),
    DATE(YEAR(TrackingTable[[#This Row],[Date]]), MONTH(TrackingTable[[#This Row],[Date]])+1, 1),
    TrackingTable[[#This Row],[Date]])</f>
        <v>45304</v>
      </c>
      <c r="I7" s="24"/>
      <c r="J7" s="25"/>
      <c r="K7" s="142" t="e" vm="3">
        <v>#VALUE!</v>
      </c>
      <c r="L7" s="146" t="s">
        <v>48</v>
      </c>
      <c r="M7" s="178"/>
      <c r="N7" s="144"/>
      <c r="O7" s="145"/>
    </row>
    <row r="8" spans="2:18" ht="14.4" customHeight="1" thickTop="1" thickBot="1" x14ac:dyDescent="0.35">
      <c r="B8" s="19">
        <v>45327</v>
      </c>
      <c r="C8" s="20" t="s">
        <v>17</v>
      </c>
      <c r="D8" s="20" t="s">
        <v>22</v>
      </c>
      <c r="E8" s="21">
        <v>1000</v>
      </c>
      <c r="F8" s="22"/>
      <c r="G8" s="13" cm="1">
        <f t="array" ref="G8">SUMPRODUCT(TrackingTable[Amount], --(TrackingTable[Date]&lt;=TrackingTable[[#This Row],[Date]]), ((TrackingTable[Type]&lt;&gt;"Income") * (-1)) + (TrackingTable[Type]="Income"))</f>
        <v>77000</v>
      </c>
      <c r="H8" s="27">
        <f>IF(AND(TrackingTable[[#This Row],[Type]]="Income", shift_late_income_status="Active", DAY(TrackingTable[[#This Row],[Date]])&gt;=shift_late_income_starting_date),
    DATE(YEAR(TrackingTable[[#This Row],[Date]]), MONTH(TrackingTable[[#This Row],[Date]])+1, 1),
    TrackingTable[[#This Row],[Date]])</f>
        <v>45327</v>
      </c>
      <c r="I8" s="24"/>
      <c r="J8" s="25"/>
      <c r="K8" s="142"/>
      <c r="L8" s="146"/>
      <c r="M8" s="177"/>
      <c r="N8" s="144"/>
      <c r="O8" s="145"/>
    </row>
    <row r="9" spans="2:18" ht="16.2" customHeight="1" thickTop="1" thickBot="1" x14ac:dyDescent="0.35">
      <c r="B9" s="19">
        <v>45332</v>
      </c>
      <c r="C9" s="20" t="s">
        <v>17</v>
      </c>
      <c r="D9" s="20" t="s">
        <v>19</v>
      </c>
      <c r="E9" s="21">
        <v>20000</v>
      </c>
      <c r="F9" s="22"/>
      <c r="G9" s="13" cm="1">
        <f t="array" ref="G9">SUMPRODUCT(TrackingTable[Amount], --(TrackingTable[Date]&lt;=TrackingTable[[#This Row],[Date]]), ((TrackingTable[Type]&lt;&gt;"Income") * (-1)) + (TrackingTable[Type]="Income"))</f>
        <v>56000</v>
      </c>
      <c r="H9" s="27">
        <f>IF(AND(TrackingTable[[#This Row],[Type]]="Income", shift_late_income_status="Active", DAY(TrackingTable[[#This Row],[Date]])&gt;=shift_late_income_starting_date),
    DATE(YEAR(TrackingTable[[#This Row],[Date]]), MONTH(TrackingTable[[#This Row],[Date]])+1, 1),
    TrackingTable[[#This Row],[Date]])</f>
        <v>45332</v>
      </c>
      <c r="J9" s="25"/>
      <c r="K9" s="142" t="e" vm="4">
        <v>#VALUE!</v>
      </c>
      <c r="L9" s="148" t="s">
        <v>49</v>
      </c>
      <c r="M9" s="178"/>
      <c r="N9" s="144"/>
      <c r="O9" s="145"/>
    </row>
    <row r="10" spans="2:18" ht="14.4" customHeight="1" thickTop="1" thickBot="1" x14ac:dyDescent="0.35">
      <c r="B10" s="19">
        <v>45332</v>
      </c>
      <c r="C10" s="20" t="s">
        <v>17</v>
      </c>
      <c r="D10" s="20" t="s">
        <v>28</v>
      </c>
      <c r="E10" s="21">
        <v>1000</v>
      </c>
      <c r="F10" s="22"/>
      <c r="G10" s="13" cm="1">
        <f t="array" ref="G10">SUMPRODUCT(TrackingTable[Amount], --(TrackingTable[Date]&lt;=TrackingTable[[#This Row],[Date]]), ((TrackingTable[Type]&lt;&gt;"Income") * (-1)) + (TrackingTable[Type]="Income"))</f>
        <v>56000</v>
      </c>
      <c r="H10" s="27">
        <f>IF(AND(TrackingTable[[#This Row],[Type]]="Income", shift_late_income_status="Active", DAY(TrackingTable[[#This Row],[Date]])&gt;=shift_late_income_starting_date),
    DATE(YEAR(TrackingTable[[#This Row],[Date]]), MONTH(TrackingTable[[#This Row],[Date]])+1, 1),
    TrackingTable[[#This Row],[Date]])</f>
        <v>45332</v>
      </c>
      <c r="J10" s="25"/>
      <c r="K10" s="142"/>
      <c r="L10" s="146"/>
      <c r="M10" s="177"/>
      <c r="N10" s="144"/>
      <c r="O10" s="145"/>
    </row>
    <row r="11" spans="2:18" ht="16.2" customHeight="1" thickTop="1" thickBot="1" x14ac:dyDescent="0.35">
      <c r="B11" s="19">
        <v>45351</v>
      </c>
      <c r="C11" s="20" t="s">
        <v>12</v>
      </c>
      <c r="D11" s="20" t="s">
        <v>13</v>
      </c>
      <c r="E11" s="21">
        <v>100000</v>
      </c>
      <c r="F11" s="22" t="s">
        <v>288</v>
      </c>
      <c r="G11" s="13" cm="1">
        <f t="array" ref="G11">SUMPRODUCT(TrackingTable[Amount], --(TrackingTable[Date]&lt;=TrackingTable[[#This Row],[Date]]), ((TrackingTable[Type]&lt;&gt;"Income") * (-1)) + (TrackingTable[Type]="Income"))</f>
        <v>156000</v>
      </c>
      <c r="H11" s="27">
        <f>IF(AND(TrackingTable[[#This Row],[Type]]="Income", shift_late_income_status="Active", DAY(TrackingTable[[#This Row],[Date]])&gt;=shift_late_income_starting_date),
    DATE(YEAR(TrackingTable[[#This Row],[Date]]), MONTH(TrackingTable[[#This Row],[Date]])+1, 1),
    TrackingTable[[#This Row],[Date]])</f>
        <v>45352</v>
      </c>
      <c r="I11" s="26"/>
      <c r="J11" s="25"/>
      <c r="K11" s="142" t="e" vm="5">
        <v>#VALUE!</v>
      </c>
      <c r="L11" s="148" t="s">
        <v>50</v>
      </c>
      <c r="M11" s="178"/>
      <c r="N11" s="144"/>
      <c r="O11" s="145"/>
    </row>
    <row r="12" spans="2:18" ht="14.4" customHeight="1" thickTop="1" thickBot="1" x14ac:dyDescent="0.35">
      <c r="B12" s="19">
        <v>45352</v>
      </c>
      <c r="C12" s="20" t="s">
        <v>17</v>
      </c>
      <c r="D12" s="20" t="s">
        <v>128</v>
      </c>
      <c r="E12" s="21">
        <v>50000</v>
      </c>
      <c r="F12" s="22" t="s">
        <v>18</v>
      </c>
      <c r="G12" s="13" cm="1">
        <f t="array" ref="G12">SUMPRODUCT(TrackingTable[Amount], --(TrackingTable[Date]&lt;=TrackingTable[[#This Row],[Date]]), ((TrackingTable[Type]&lt;&gt;"Income") * (-1)) + (TrackingTable[Type]="Income"))</f>
        <v>106000</v>
      </c>
      <c r="H12" s="27">
        <f>IF(AND(TrackingTable[[#This Row],[Type]]="Income", shift_late_income_status="Active", DAY(TrackingTable[[#This Row],[Date]])&gt;=shift_late_income_starting_date),
    DATE(YEAR(TrackingTable[[#This Row],[Date]]), MONTH(TrackingTable[[#This Row],[Date]])+1, 1),
    TrackingTable[[#This Row],[Date]])</f>
        <v>45352</v>
      </c>
      <c r="J12" s="25"/>
      <c r="K12" s="142"/>
      <c r="L12" s="146"/>
      <c r="M12" s="177"/>
      <c r="N12" s="144"/>
      <c r="O12" s="145"/>
    </row>
    <row r="13" spans="2:18" ht="16.2" customHeight="1" thickTop="1" thickBot="1" x14ac:dyDescent="0.35">
      <c r="B13" s="19">
        <v>45353</v>
      </c>
      <c r="C13" s="20" t="s">
        <v>32</v>
      </c>
      <c r="D13" s="20" t="s">
        <v>34</v>
      </c>
      <c r="E13" s="21">
        <v>10000</v>
      </c>
      <c r="F13" s="22" t="s">
        <v>289</v>
      </c>
      <c r="G13" s="13" cm="1">
        <f t="array" ref="G13">SUMPRODUCT(TrackingTable[Amount], --(TrackingTable[Date]&lt;=TrackingTable[[#This Row],[Date]]), ((TrackingTable[Type]&lt;&gt;"Income") * (-1)) + (TrackingTable[Type]="Income"))</f>
        <v>96000</v>
      </c>
      <c r="H13" s="27">
        <f>IF(AND(TrackingTable[[#This Row],[Type]]="Income", shift_late_income_status="Active", DAY(TrackingTable[[#This Row],[Date]])&gt;=shift_late_income_starting_date),
    DATE(YEAR(TrackingTable[[#This Row],[Date]]), MONTH(TrackingTable[[#This Row],[Date]])+1, 1),
    TrackingTable[[#This Row],[Date]])</f>
        <v>45353</v>
      </c>
      <c r="J13" s="25"/>
      <c r="K13" s="142" t="e" vm="6">
        <v>#VALUE!</v>
      </c>
      <c r="L13" s="148" t="s">
        <v>51</v>
      </c>
      <c r="M13" s="178"/>
      <c r="N13" s="144"/>
      <c r="O13" s="145"/>
    </row>
    <row r="14" spans="2:18" ht="16.2" customHeight="1" thickTop="1" thickBot="1" x14ac:dyDescent="0.35">
      <c r="B14" s="19">
        <v>45356</v>
      </c>
      <c r="C14" s="20" t="s">
        <v>12</v>
      </c>
      <c r="D14" s="20" t="s">
        <v>13</v>
      </c>
      <c r="E14" s="21">
        <v>100000</v>
      </c>
      <c r="F14" s="22" t="s">
        <v>288</v>
      </c>
      <c r="G14" s="13" cm="1">
        <f t="array" ref="G14">SUMPRODUCT(TrackingTable[Amount], --(TrackingTable[Date]&lt;=TrackingTable[[#This Row],[Date]]), ((TrackingTable[Type]&lt;&gt;"Income") * (-1)) + (TrackingTable[Type]="Income"))</f>
        <v>196000</v>
      </c>
      <c r="H14" s="27">
        <f>IF(AND(TrackingTable[[#This Row],[Type]]="Income", shift_late_income_status="Active", DAY(TrackingTable[[#This Row],[Date]])&gt;=shift_late_income_starting_date),
    DATE(YEAR(TrackingTable[[#This Row],[Date]]), MONTH(TrackingTable[[#This Row],[Date]])+1, 1),
    TrackingTable[[#This Row],[Date]])</f>
        <v>45356</v>
      </c>
      <c r="J14" s="28"/>
      <c r="K14" s="29"/>
      <c r="L14" s="30"/>
      <c r="M14" s="31"/>
      <c r="N14" s="32"/>
      <c r="O14" s="149"/>
    </row>
    <row r="15" spans="2:18" ht="15.6" customHeight="1" x14ac:dyDescent="0.3">
      <c r="B15" s="19">
        <v>45357</v>
      </c>
      <c r="C15" s="20" t="s">
        <v>17</v>
      </c>
      <c r="D15" s="20" t="s">
        <v>22</v>
      </c>
      <c r="E15" s="21">
        <v>1000</v>
      </c>
      <c r="F15" s="22"/>
      <c r="G15" s="13" cm="1">
        <f t="array" ref="G15">SUMPRODUCT(TrackingTable[Amount], --(TrackingTable[Date]&lt;=TrackingTable[[#This Row],[Date]]), ((TrackingTable[Type]&lt;&gt;"Income") * (-1)) + (TrackingTable[Type]="Income"))</f>
        <v>195000</v>
      </c>
      <c r="H15" s="27">
        <f>IF(AND(TrackingTable[[#This Row],[Type]]="Income", shift_late_income_status="Active", DAY(TrackingTable[[#This Row],[Date]])&gt;=shift_late_income_starting_date),
    DATE(YEAR(TrackingTable[[#This Row],[Date]]), MONTH(TrackingTable[[#This Row],[Date]])+1, 1),
    TrackingTable[[#This Row],[Date]])</f>
        <v>45357</v>
      </c>
      <c r="J15" s="25"/>
      <c r="K15" s="142"/>
      <c r="L15" s="150"/>
      <c r="M15" s="144"/>
      <c r="N15" s="144"/>
      <c r="O15" s="145"/>
      <c r="P15" s="197" t="s">
        <v>294</v>
      </c>
      <c r="Q15" s="198"/>
      <c r="R15" s="198"/>
    </row>
    <row r="16" spans="2:18" ht="14.25" customHeight="1" x14ac:dyDescent="0.3">
      <c r="B16" s="19">
        <v>45367</v>
      </c>
      <c r="C16" s="20" t="s">
        <v>17</v>
      </c>
      <c r="D16" s="20" t="s">
        <v>19</v>
      </c>
      <c r="E16" s="21">
        <v>20000</v>
      </c>
      <c r="F16" s="127"/>
      <c r="G16" s="13" cm="1">
        <f t="array" ref="G16">SUMPRODUCT(TrackingTable[Amount], --(TrackingTable[Date]&lt;=TrackingTable[[#This Row],[Date]]), ((TrackingTable[Type]&lt;&gt;"Income") * (-1)) + (TrackingTable[Type]="Income"))</f>
        <v>174000</v>
      </c>
      <c r="H16" s="27">
        <f>IF(AND(TrackingTable[[#This Row],[Type]]="Income", shift_late_income_status="Active", DAY(TrackingTable[[#This Row],[Date]])&gt;=shift_late_income_starting_date),
    DATE(YEAR(TrackingTable[[#This Row],[Date]]), MONTH(TrackingTable[[#This Row],[Date]])+1, 1),
    TrackingTable[[#This Row],[Date]])</f>
        <v>45367</v>
      </c>
      <c r="J16" s="25"/>
      <c r="K16" s="142"/>
      <c r="L16" s="144"/>
      <c r="M16" s="144"/>
      <c r="N16" s="144"/>
      <c r="O16" s="145"/>
      <c r="P16" s="197"/>
      <c r="Q16" s="198"/>
      <c r="R16" s="198"/>
    </row>
    <row r="17" spans="2:18" x14ac:dyDescent="0.3">
      <c r="B17" s="19">
        <v>45367</v>
      </c>
      <c r="C17" s="20" t="s">
        <v>17</v>
      </c>
      <c r="D17" s="20" t="s">
        <v>28</v>
      </c>
      <c r="E17" s="21">
        <v>1000</v>
      </c>
      <c r="F17" s="22"/>
      <c r="G17" s="23" cm="1">
        <f t="array" ref="G17">SUMPRODUCT(TrackingTable[Amount], --(TrackingTable[Date]&lt;=TrackingTable[[#This Row],[Date]]), ((TrackingTable[Type]&lt;&gt;"Income") * (-1)) + (TrackingTable[Type]="Income"))</f>
        <v>174000</v>
      </c>
      <c r="H17" s="27">
        <f>IF(AND(TrackingTable[[#This Row],[Type]]="Income", shift_late_income_status="Active", DAY(TrackingTable[[#This Row],[Date]])&gt;=shift_late_income_starting_date),
    DATE(YEAR(TrackingTable[[#This Row],[Date]]), MONTH(TrackingTable[[#This Row],[Date]])+1, 1),
    TrackingTable[[#This Row],[Date]])</f>
        <v>45367</v>
      </c>
      <c r="J17" s="151"/>
      <c r="O17" s="152"/>
      <c r="P17" s="197"/>
      <c r="Q17" s="198"/>
      <c r="R17" s="198"/>
    </row>
    <row r="18" spans="2:18" ht="15" thickBot="1" x14ac:dyDescent="0.35">
      <c r="B18" s="19">
        <v>45387</v>
      </c>
      <c r="C18" s="20" t="s">
        <v>17</v>
      </c>
      <c r="D18" s="20" t="s">
        <v>22</v>
      </c>
      <c r="E18" s="21">
        <v>1000</v>
      </c>
      <c r="F18" s="22"/>
      <c r="G18" s="23" cm="1">
        <f t="array" ref="G18">SUMPRODUCT(TrackingTable[Amount], --(TrackingTable[Date]&lt;=TrackingTable[[#This Row],[Date]]), ((TrackingTable[Type]&lt;&gt;"Income") * (-1)) + (TrackingTable[Type]="Income"))</f>
        <v>273000</v>
      </c>
      <c r="H18" s="27">
        <f>IF(AND(TrackingTable[[#This Row],[Type]]="Income", shift_late_income_status="Active", DAY(TrackingTable[[#This Row],[Date]])&gt;=shift_late_income_starting_date),
    DATE(YEAR(TrackingTable[[#This Row],[Date]]), MONTH(TrackingTable[[#This Row],[Date]])+1, 1),
    TrackingTable[[#This Row],[Date]])</f>
        <v>45387</v>
      </c>
      <c r="J18" s="153"/>
      <c r="K18" s="154"/>
      <c r="L18" s="155"/>
      <c r="M18" s="156"/>
      <c r="N18" s="156"/>
      <c r="O18" s="157"/>
      <c r="P18" s="197"/>
      <c r="Q18" s="198"/>
      <c r="R18" s="198"/>
    </row>
    <row r="19" spans="2:18" x14ac:dyDescent="0.3">
      <c r="B19" s="19">
        <v>45387</v>
      </c>
      <c r="C19" s="20" t="s">
        <v>12</v>
      </c>
      <c r="D19" s="20" t="s">
        <v>13</v>
      </c>
      <c r="E19" s="21">
        <v>100000</v>
      </c>
      <c r="F19" s="22" t="s">
        <v>288</v>
      </c>
      <c r="G19" s="23" cm="1">
        <f t="array" ref="G19">SUMPRODUCT(TrackingTable[Amount], --(TrackingTable[Date]&lt;=TrackingTable[[#This Row],[Date]]), ((TrackingTable[Type]&lt;&gt;"Income") * (-1)) + (TrackingTable[Type]="Income"))</f>
        <v>273000</v>
      </c>
      <c r="H19" s="27">
        <f>IF(AND(TrackingTable[[#This Row],[Type]]="Income", shift_late_income_status="Active", DAY(TrackingTable[[#This Row],[Date]])&gt;=shift_late_income_starting_date),
    DATE(YEAR(TrackingTable[[#This Row],[Date]]), MONTH(TrackingTable[[#This Row],[Date]])+1, 1),
    TrackingTable[[#This Row],[Date]])</f>
        <v>45387</v>
      </c>
    </row>
    <row r="20" spans="2:18" x14ac:dyDescent="0.3">
      <c r="B20" s="19">
        <v>45389</v>
      </c>
      <c r="C20" s="20" t="s">
        <v>17</v>
      </c>
      <c r="D20" s="20" t="s">
        <v>19</v>
      </c>
      <c r="E20" s="21">
        <v>20000</v>
      </c>
      <c r="F20" s="127"/>
      <c r="G20" s="23" cm="1">
        <f t="array" ref="G20">SUMPRODUCT(TrackingTable[Amount], --(TrackingTable[Date]&lt;=TrackingTable[[#This Row],[Date]]), ((TrackingTable[Type]&lt;&gt;"Income") * (-1)) + (TrackingTable[Type]="Income"))</f>
        <v>252000</v>
      </c>
      <c r="H20" s="27">
        <f>IF(AND(TrackingTable[[#This Row],[Type]]="Income", shift_late_income_status="Active", DAY(TrackingTable[[#This Row],[Date]])&gt;=shift_late_income_starting_date),
    DATE(YEAR(TrackingTable[[#This Row],[Date]]), MONTH(TrackingTable[[#This Row],[Date]])+1, 1),
    TrackingTable[[#This Row],[Date]])</f>
        <v>45389</v>
      </c>
    </row>
    <row r="21" spans="2:18" x14ac:dyDescent="0.3">
      <c r="B21" s="19">
        <v>45389</v>
      </c>
      <c r="C21" s="20" t="s">
        <v>17</v>
      </c>
      <c r="D21" s="20" t="s">
        <v>28</v>
      </c>
      <c r="E21" s="21">
        <v>1000</v>
      </c>
      <c r="F21" s="22"/>
      <c r="G21" s="23" cm="1">
        <f t="array" ref="G21">SUMPRODUCT(TrackingTable[Amount], --(TrackingTable[Date]&lt;=TrackingTable[[#This Row],[Date]]), ((TrackingTable[Type]&lt;&gt;"Income") * (-1)) + (TrackingTable[Type]="Income"))</f>
        <v>252000</v>
      </c>
      <c r="H21" s="27">
        <f>IF(AND(TrackingTable[[#This Row],[Type]]="Income", shift_late_income_status="Active", DAY(TrackingTable[[#This Row],[Date]])&gt;=shift_late_income_starting_date),
    DATE(YEAR(TrackingTable[[#This Row],[Date]]), MONTH(TrackingTable[[#This Row],[Date]])+1, 1),
    TrackingTable[[#This Row],[Date]])</f>
        <v>45389</v>
      </c>
    </row>
    <row r="22" spans="2:18" x14ac:dyDescent="0.3">
      <c r="B22" s="19">
        <v>45415</v>
      </c>
      <c r="C22" s="20" t="s">
        <v>17</v>
      </c>
      <c r="D22" s="20" t="s">
        <v>22</v>
      </c>
      <c r="E22" s="21">
        <v>1000</v>
      </c>
      <c r="F22" s="22"/>
      <c r="G22" s="23" cm="1">
        <f t="array" ref="G22">SUMPRODUCT(TrackingTable[Amount], --(TrackingTable[Date]&lt;=TrackingTable[[#This Row],[Date]]), ((TrackingTable[Type]&lt;&gt;"Income") * (-1)) + (TrackingTable[Type]="Income"))</f>
        <v>351000</v>
      </c>
      <c r="H22" s="27">
        <f>IF(AND(TrackingTable[[#This Row],[Type]]="Income", shift_late_income_status="Active", DAY(TrackingTable[[#This Row],[Date]])&gt;=shift_late_income_starting_date),
    DATE(YEAR(TrackingTable[[#This Row],[Date]]), MONTH(TrackingTable[[#This Row],[Date]])+1, 1),
    TrackingTable[[#This Row],[Date]])</f>
        <v>45415</v>
      </c>
    </row>
    <row r="23" spans="2:18" x14ac:dyDescent="0.3">
      <c r="B23" s="19">
        <v>45415</v>
      </c>
      <c r="C23" s="20" t="s">
        <v>12</v>
      </c>
      <c r="D23" s="20" t="s">
        <v>13</v>
      </c>
      <c r="E23" s="21">
        <v>100000</v>
      </c>
      <c r="F23" s="22" t="s">
        <v>288</v>
      </c>
      <c r="G23" s="13" cm="1">
        <f t="array" ref="G23">SUMPRODUCT(TrackingTable[Amount], --(TrackingTable[Date]&lt;=TrackingTable[[#This Row],[Date]]), ((TrackingTable[Type]&lt;&gt;"Income") * (-1)) + (TrackingTable[Type]="Income"))</f>
        <v>351000</v>
      </c>
      <c r="H23" s="27">
        <f>IF(AND(TrackingTable[[#This Row],[Type]]="Income", shift_late_income_status="Active", DAY(TrackingTable[[#This Row],[Date]])&gt;=shift_late_income_starting_date),
    DATE(YEAR(TrackingTable[[#This Row],[Date]]), MONTH(TrackingTable[[#This Row],[Date]])+1, 1),
    TrackingTable[[#This Row],[Date]])</f>
        <v>45415</v>
      </c>
    </row>
    <row r="24" spans="2:18" x14ac:dyDescent="0.3">
      <c r="B24" s="19">
        <v>45431</v>
      </c>
      <c r="C24" s="20" t="s">
        <v>17</v>
      </c>
      <c r="D24" s="20" t="s">
        <v>19</v>
      </c>
      <c r="E24" s="21">
        <v>20000</v>
      </c>
      <c r="F24" s="127"/>
      <c r="G24" s="13" cm="1">
        <f t="array" ref="G24">SUMPRODUCT(TrackingTable[Amount], --(TrackingTable[Date]&lt;=TrackingTable[[#This Row],[Date]]), ((TrackingTable[Type]&lt;&gt;"Income") * (-1)) + (TrackingTable[Type]="Income"))</f>
        <v>330000</v>
      </c>
      <c r="H24" s="27">
        <f>IF(AND(TrackingTable[[#This Row],[Type]]="Income", shift_late_income_status="Active", DAY(TrackingTable[[#This Row],[Date]])&gt;=shift_late_income_starting_date),
    DATE(YEAR(TrackingTable[[#This Row],[Date]]), MONTH(TrackingTable[[#This Row],[Date]])+1, 1),
    TrackingTable[[#This Row],[Date]])</f>
        <v>45431</v>
      </c>
    </row>
    <row r="25" spans="2:18" x14ac:dyDescent="0.3">
      <c r="B25" s="19">
        <v>45431</v>
      </c>
      <c r="C25" s="20" t="s">
        <v>17</v>
      </c>
      <c r="D25" s="20" t="s">
        <v>28</v>
      </c>
      <c r="E25" s="21">
        <v>1000</v>
      </c>
      <c r="F25" s="22"/>
      <c r="G25" s="13" cm="1">
        <f t="array" ref="G25">SUMPRODUCT(TrackingTable[Amount], --(TrackingTable[Date]&lt;=TrackingTable[[#This Row],[Date]]), ((TrackingTable[Type]&lt;&gt;"Income") * (-1)) + (TrackingTable[Type]="Income"))</f>
        <v>330000</v>
      </c>
      <c r="H25" s="27">
        <f>IF(AND(TrackingTable[[#This Row],[Type]]="Income", shift_late_income_status="Active", DAY(TrackingTable[[#This Row],[Date]])&gt;=shift_late_income_starting_date),
    DATE(YEAR(TrackingTable[[#This Row],[Date]]), MONTH(TrackingTable[[#This Row],[Date]])+1, 1),
    TrackingTable[[#This Row],[Date]])</f>
        <v>45431</v>
      </c>
    </row>
    <row r="26" spans="2:18" x14ac:dyDescent="0.3">
      <c r="B26" s="19">
        <v>45447</v>
      </c>
      <c r="C26" s="20" t="s">
        <v>17</v>
      </c>
      <c r="D26" s="20" t="s">
        <v>22</v>
      </c>
      <c r="E26" s="21">
        <v>1000</v>
      </c>
      <c r="F26" s="22"/>
      <c r="G26" s="13" cm="1">
        <f t="array" ref="G26">SUMPRODUCT(TrackingTable[Amount], --(TrackingTable[Date]&lt;=TrackingTable[[#This Row],[Date]]), ((TrackingTable[Type]&lt;&gt;"Income") * (-1)) + (TrackingTable[Type]="Income"))</f>
        <v>329000</v>
      </c>
      <c r="H26" s="27">
        <f>IF(AND(TrackingTable[[#This Row],[Type]]="Income", shift_late_income_status="Active", DAY(TrackingTable[[#This Row],[Date]])&gt;=shift_late_income_starting_date),
    DATE(YEAR(TrackingTable[[#This Row],[Date]]), MONTH(TrackingTable[[#This Row],[Date]])+1, 1),
    TrackingTable[[#This Row],[Date]])</f>
        <v>45447</v>
      </c>
    </row>
    <row r="27" spans="2:18" x14ac:dyDescent="0.3">
      <c r="B27" s="19">
        <v>45458</v>
      </c>
      <c r="C27" s="20" t="s">
        <v>17</v>
      </c>
      <c r="D27" s="20" t="s">
        <v>19</v>
      </c>
      <c r="E27" s="21">
        <v>20000</v>
      </c>
      <c r="F27" s="22"/>
      <c r="G27" s="13" cm="1">
        <f t="array" ref="G27">SUMPRODUCT(TrackingTable[Amount], --(TrackingTable[Date]&lt;=TrackingTable[[#This Row],[Date]]), ((TrackingTable[Type]&lt;&gt;"Income") * (-1)) + (TrackingTable[Type]="Income"))</f>
        <v>308000</v>
      </c>
      <c r="H27" s="27">
        <f>IF(AND(TrackingTable[[#This Row],[Type]]="Income", shift_late_income_status="Active", DAY(TrackingTable[[#This Row],[Date]])&gt;=shift_late_income_starting_date),
    DATE(YEAR(TrackingTable[[#This Row],[Date]]), MONTH(TrackingTable[[#This Row],[Date]])+1, 1),
    TrackingTable[[#This Row],[Date]])</f>
        <v>45458</v>
      </c>
    </row>
    <row r="28" spans="2:18" x14ac:dyDescent="0.3">
      <c r="B28" s="19">
        <v>45458</v>
      </c>
      <c r="C28" s="20" t="s">
        <v>17</v>
      </c>
      <c r="D28" s="20" t="s">
        <v>28</v>
      </c>
      <c r="E28" s="21">
        <v>1000</v>
      </c>
      <c r="F28" s="22"/>
      <c r="G28" s="13" cm="1">
        <f t="array" ref="G28">SUMPRODUCT(TrackingTable[Amount], --(TrackingTable[Date]&lt;=TrackingTable[[#This Row],[Date]]), ((TrackingTable[Type]&lt;&gt;"Income") * (-1)) + (TrackingTable[Type]="Income"))</f>
        <v>308000</v>
      </c>
      <c r="H28" s="27">
        <f>IF(AND(TrackingTable[[#This Row],[Type]]="Income", shift_late_income_status="Active", DAY(TrackingTable[[#This Row],[Date]])&gt;=shift_late_income_starting_date),
    DATE(YEAR(TrackingTable[[#This Row],[Date]]), MONTH(TrackingTable[[#This Row],[Date]])+1, 1),
    TrackingTable[[#This Row],[Date]])</f>
        <v>45458</v>
      </c>
    </row>
    <row r="29" spans="2:18" x14ac:dyDescent="0.3">
      <c r="B29" s="19">
        <v>45473</v>
      </c>
      <c r="C29" s="20" t="s">
        <v>12</v>
      </c>
      <c r="D29" s="20" t="s">
        <v>13</v>
      </c>
      <c r="E29" s="21">
        <v>100000</v>
      </c>
      <c r="F29" s="22" t="s">
        <v>288</v>
      </c>
      <c r="G29" s="13" cm="1">
        <f t="array" ref="G29">SUMPRODUCT(TrackingTable[Amount], --(TrackingTable[Date]&lt;=TrackingTable[[#This Row],[Date]]), ((TrackingTable[Type]&lt;&gt;"Income") * (-1)) + (TrackingTable[Type]="Income"))</f>
        <v>355000</v>
      </c>
      <c r="H29" s="27">
        <f>IF(AND(TrackingTable[[#This Row],[Type]]="Income", shift_late_income_status="Active", DAY(TrackingTable[[#This Row],[Date]])&gt;=shift_late_income_starting_date),
    DATE(YEAR(TrackingTable[[#This Row],[Date]]), MONTH(TrackingTable[[#This Row],[Date]])+1, 1),
    TrackingTable[[#This Row],[Date]])</f>
        <v>45474</v>
      </c>
    </row>
    <row r="30" spans="2:18" x14ac:dyDescent="0.3">
      <c r="B30" s="19">
        <v>45473</v>
      </c>
      <c r="C30" s="20" t="s">
        <v>17</v>
      </c>
      <c r="D30" s="20" t="s">
        <v>128</v>
      </c>
      <c r="E30" s="21">
        <v>50000</v>
      </c>
      <c r="F30" s="22"/>
      <c r="G30" s="13" cm="1">
        <f t="array" ref="G30">SUMPRODUCT(TrackingTable[Amount], --(TrackingTable[Date]&lt;=TrackingTable[[#This Row],[Date]]), ((TrackingTable[Type]&lt;&gt;"Income") * (-1)) + (TrackingTable[Type]="Income"))</f>
        <v>355000</v>
      </c>
      <c r="H30" s="27">
        <f>IF(AND(TrackingTable[[#This Row],[Type]]="Income", shift_late_income_status="Active", DAY(TrackingTable[[#This Row],[Date]])&gt;=shift_late_income_starting_date),
    DATE(YEAR(TrackingTable[[#This Row],[Date]]), MONTH(TrackingTable[[#This Row],[Date]])+1, 1),
    TrackingTable[[#This Row],[Date]])</f>
        <v>45473</v>
      </c>
    </row>
    <row r="31" spans="2:18" ht="13.8" customHeight="1" x14ac:dyDescent="0.3">
      <c r="B31" s="19">
        <v>45473</v>
      </c>
      <c r="C31" s="20" t="s">
        <v>32</v>
      </c>
      <c r="D31" s="20" t="s">
        <v>34</v>
      </c>
      <c r="E31" s="21">
        <v>5000</v>
      </c>
      <c r="F31" s="22"/>
      <c r="G31" s="13" cm="1">
        <f t="array" ref="G31">SUMPRODUCT(TrackingTable[Amount], --(TrackingTable[Date]&lt;=TrackingTable[[#This Row],[Date]]), ((TrackingTable[Type]&lt;&gt;"Income") * (-1)) + (TrackingTable[Type]="Income"))</f>
        <v>355000</v>
      </c>
      <c r="H31" s="27">
        <f>IF(AND(TrackingTable[[#This Row],[Type]]="Income", shift_late_income_status="Active", DAY(TrackingTable[[#This Row],[Date]])&gt;=shift_late_income_starting_date),
    DATE(YEAR(TrackingTable[[#This Row],[Date]]), MONTH(TrackingTable[[#This Row],[Date]])+1, 1),
    TrackingTable[[#This Row],[Date]])</f>
        <v>45473</v>
      </c>
    </row>
    <row r="32" spans="2:18" ht="13.8" customHeight="1" x14ac:dyDescent="0.3">
      <c r="B32" s="180">
        <v>45473</v>
      </c>
      <c r="C32" s="20" t="s">
        <v>12</v>
      </c>
      <c r="D32" s="20" t="s">
        <v>121</v>
      </c>
      <c r="E32" s="21">
        <v>2000</v>
      </c>
      <c r="F32" s="22"/>
      <c r="G32" s="23" cm="1">
        <f t="array" ref="G32">SUMPRODUCT(TrackingTable[Amount], --(TrackingTable[Date]&lt;=TrackingTable[[#This Row],[Date]]), ((TrackingTable[Type]&lt;&gt;"Income") * (-1)) + (TrackingTable[Type]="Income"))</f>
        <v>355000</v>
      </c>
      <c r="H32" s="27">
        <f>IF(AND(TrackingTable[[#This Row],[Type]]="Income", shift_late_income_status="Active", DAY(TrackingTable[[#This Row],[Date]])&gt;=shift_late_income_starting_date),
    DATE(YEAR(TrackingTable[[#This Row],[Date]]), MONTH(TrackingTable[[#This Row],[Date]])+1, 1),
    TrackingTable[[#This Row],[Date]])</f>
        <v>45474</v>
      </c>
    </row>
    <row r="33" spans="2:8" x14ac:dyDescent="0.3">
      <c r="B33" s="19">
        <v>45478</v>
      </c>
      <c r="C33" s="20" t="s">
        <v>17</v>
      </c>
      <c r="D33" s="20" t="s">
        <v>22</v>
      </c>
      <c r="E33" s="21">
        <v>1000</v>
      </c>
      <c r="F33" s="22"/>
      <c r="G33" s="13" cm="1">
        <f t="array" ref="G33">SUMPRODUCT(TrackingTable[Amount], --(TrackingTable[Date]&lt;=TrackingTable[[#This Row],[Date]]), ((TrackingTable[Type]&lt;&gt;"Income") * (-1)) + (TrackingTable[Type]="Income"))</f>
        <v>354000</v>
      </c>
      <c r="H33" s="27">
        <f>IF(AND(TrackingTable[[#This Row],[Type]]="Income", shift_late_income_status="Active", DAY(TrackingTable[[#This Row],[Date]])&gt;=shift_late_income_starting_date),
    DATE(YEAR(TrackingTable[[#This Row],[Date]]), MONTH(TrackingTable[[#This Row],[Date]])+1, 1),
    TrackingTable[[#This Row],[Date]])</f>
        <v>45478</v>
      </c>
    </row>
    <row r="34" spans="2:8" x14ac:dyDescent="0.3">
      <c r="B34" s="19">
        <v>45495</v>
      </c>
      <c r="C34" s="20" t="s">
        <v>17</v>
      </c>
      <c r="D34" s="20" t="s">
        <v>19</v>
      </c>
      <c r="E34" s="21">
        <v>20000</v>
      </c>
      <c r="F34" s="22"/>
      <c r="G34" s="13" cm="1">
        <f t="array" ref="G34">SUMPRODUCT(TrackingTable[Amount], --(TrackingTable[Date]&lt;=TrackingTable[[#This Row],[Date]]), ((TrackingTable[Type]&lt;&gt;"Income") * (-1)) + (TrackingTable[Type]="Income"))</f>
        <v>333000</v>
      </c>
      <c r="H34" s="27">
        <f>IF(AND(TrackingTable[[#This Row],[Type]]="Income", shift_late_income_status="Active", DAY(TrackingTable[[#This Row],[Date]])&gt;=shift_late_income_starting_date),
    DATE(YEAR(TrackingTable[[#This Row],[Date]]), MONTH(TrackingTable[[#This Row],[Date]])+1, 1),
    TrackingTable[[#This Row],[Date]])</f>
        <v>45495</v>
      </c>
    </row>
    <row r="35" spans="2:8" x14ac:dyDescent="0.3">
      <c r="B35" s="19">
        <v>45495</v>
      </c>
      <c r="C35" s="20" t="s">
        <v>17</v>
      </c>
      <c r="D35" s="20" t="s">
        <v>28</v>
      </c>
      <c r="E35" s="21">
        <v>1000</v>
      </c>
      <c r="F35" s="22"/>
      <c r="G35" s="13" cm="1">
        <f t="array" ref="G35">SUMPRODUCT(TrackingTable[Amount], --(TrackingTable[Date]&lt;=TrackingTable[[#This Row],[Date]]), ((TrackingTable[Type]&lt;&gt;"Income") * (-1)) + (TrackingTable[Type]="Income"))</f>
        <v>333000</v>
      </c>
      <c r="H35" s="27">
        <f>IF(AND(TrackingTable[[#This Row],[Type]]="Income", shift_late_income_status="Active", DAY(TrackingTable[[#This Row],[Date]])&gt;=shift_late_income_starting_date),
    DATE(YEAR(TrackingTable[[#This Row],[Date]]), MONTH(TrackingTable[[#This Row],[Date]])+1, 1),
    TrackingTable[[#This Row],[Date]])</f>
        <v>45495</v>
      </c>
    </row>
    <row r="36" spans="2:8" x14ac:dyDescent="0.3">
      <c r="B36" s="19">
        <v>45504</v>
      </c>
      <c r="C36" s="20" t="s">
        <v>12</v>
      </c>
      <c r="D36" s="20" t="s">
        <v>13</v>
      </c>
      <c r="E36" s="21">
        <v>100000</v>
      </c>
      <c r="F36" s="22"/>
      <c r="G36" s="13" cm="1">
        <f t="array" ref="G36">SUMPRODUCT(TrackingTable[Amount], --(TrackingTable[Date]&lt;=TrackingTable[[#This Row],[Date]]), ((TrackingTable[Type]&lt;&gt;"Income") * (-1)) + (TrackingTable[Type]="Income"))</f>
        <v>433000</v>
      </c>
      <c r="H36" s="27">
        <f>IF(AND(TrackingTable[[#This Row],[Type]]="Income", shift_late_income_status="Active", DAY(TrackingTable[[#This Row],[Date]])&gt;=shift_late_income_starting_date),
    DATE(YEAR(TrackingTable[[#This Row],[Date]]), MONTH(TrackingTable[[#This Row],[Date]])+1, 1),
    TrackingTable[[#This Row],[Date]])</f>
        <v>45505</v>
      </c>
    </row>
    <row r="37" spans="2:8" x14ac:dyDescent="0.3">
      <c r="B37" s="19">
        <v>45506</v>
      </c>
      <c r="C37" s="20" t="s">
        <v>32</v>
      </c>
      <c r="D37" s="20" t="s">
        <v>85</v>
      </c>
      <c r="E37" s="21">
        <v>20000</v>
      </c>
      <c r="F37" s="22"/>
      <c r="G37" s="13" cm="1">
        <f t="array" ref="G37">SUMPRODUCT(TrackingTable[Amount], --(TrackingTable[Date]&lt;=TrackingTable[[#This Row],[Date]]), ((TrackingTable[Type]&lt;&gt;"Income") * (-1)) + (TrackingTable[Type]="Income"))</f>
        <v>413000</v>
      </c>
      <c r="H37" s="27">
        <f>IF(AND(TrackingTable[[#This Row],[Type]]="Income", shift_late_income_status="Active", DAY(TrackingTable[[#This Row],[Date]])&gt;=shift_late_income_starting_date),
    DATE(YEAR(TrackingTable[[#This Row],[Date]]), MONTH(TrackingTable[[#This Row],[Date]])+1, 1),
    TrackingTable[[#This Row],[Date]])</f>
        <v>45506</v>
      </c>
    </row>
    <row r="38" spans="2:8" x14ac:dyDescent="0.3">
      <c r="B38" s="19">
        <v>45508</v>
      </c>
      <c r="C38" s="20" t="s">
        <v>17</v>
      </c>
      <c r="D38" s="20" t="s">
        <v>19</v>
      </c>
      <c r="E38" s="21">
        <v>20000</v>
      </c>
      <c r="F38" s="22"/>
      <c r="G38" s="13" cm="1">
        <f t="array" ref="G38">SUMPRODUCT(TrackingTable[Amount], --(TrackingTable[Date]&lt;=TrackingTable[[#This Row],[Date]]), ((TrackingTable[Type]&lt;&gt;"Income") * (-1)) + (TrackingTable[Type]="Income"))</f>
        <v>392000</v>
      </c>
      <c r="H38" s="27">
        <f>IF(AND(TrackingTable[[#This Row],[Type]]="Income", shift_late_income_status="Active", DAY(TrackingTable[[#This Row],[Date]])&gt;=shift_late_income_starting_date),
    DATE(YEAR(TrackingTable[[#This Row],[Date]]), MONTH(TrackingTable[[#This Row],[Date]])+1, 1),
    TrackingTable[[#This Row],[Date]])</f>
        <v>45508</v>
      </c>
    </row>
    <row r="39" spans="2:8" x14ac:dyDescent="0.3">
      <c r="B39" s="19">
        <v>45508</v>
      </c>
      <c r="C39" s="20" t="s">
        <v>17</v>
      </c>
      <c r="D39" s="20" t="s">
        <v>28</v>
      </c>
      <c r="E39" s="21">
        <v>1000</v>
      </c>
      <c r="F39" s="22"/>
      <c r="G39" s="13" cm="1">
        <f t="array" ref="G39">SUMPRODUCT(TrackingTable[Amount], --(TrackingTable[Date]&lt;=TrackingTable[[#This Row],[Date]]), ((TrackingTable[Type]&lt;&gt;"Income") * (-1)) + (TrackingTable[Type]="Income"))</f>
        <v>392000</v>
      </c>
      <c r="H39" s="27">
        <f>IF(AND(TrackingTable[[#This Row],[Type]]="Income", shift_late_income_status="Active", DAY(TrackingTable[[#This Row],[Date]])&gt;=shift_late_income_starting_date),
    DATE(YEAR(TrackingTable[[#This Row],[Date]]), MONTH(TrackingTable[[#This Row],[Date]])+1, 1),
    TrackingTable[[#This Row],[Date]])</f>
        <v>45508</v>
      </c>
    </row>
    <row r="40" spans="2:8" x14ac:dyDescent="0.3">
      <c r="B40" s="19">
        <v>45511</v>
      </c>
      <c r="C40" s="20" t="s">
        <v>17</v>
      </c>
      <c r="D40" s="20" t="s">
        <v>22</v>
      </c>
      <c r="E40" s="21">
        <v>1000</v>
      </c>
      <c r="F40" s="22"/>
      <c r="G40" s="13" cm="1">
        <f t="array" ref="G40">SUMPRODUCT(TrackingTable[Amount], --(TrackingTable[Date]&lt;=TrackingTable[[#This Row],[Date]]), ((TrackingTable[Type]&lt;&gt;"Income") * (-1)) + (TrackingTable[Type]="Income"))</f>
        <v>491000</v>
      </c>
      <c r="H40" s="27">
        <f>IF(AND(TrackingTable[[#This Row],[Type]]="Income", shift_late_income_status="Active", DAY(TrackingTable[[#This Row],[Date]])&gt;=shift_late_income_starting_date),
    DATE(YEAR(TrackingTable[[#This Row],[Date]]), MONTH(TrackingTable[[#This Row],[Date]])+1, 1),
    TrackingTable[[#This Row],[Date]])</f>
        <v>45511</v>
      </c>
    </row>
    <row r="41" spans="2:8" x14ac:dyDescent="0.3">
      <c r="B41" s="19">
        <v>45511</v>
      </c>
      <c r="C41" s="20" t="s">
        <v>12</v>
      </c>
      <c r="D41" s="20" t="s">
        <v>13</v>
      </c>
      <c r="E41" s="21">
        <v>100000</v>
      </c>
      <c r="F41" s="22" t="s">
        <v>288</v>
      </c>
      <c r="G41" s="13" cm="1">
        <f t="array" ref="G41">SUMPRODUCT(TrackingTable[Amount], --(TrackingTable[Date]&lt;=TrackingTable[[#This Row],[Date]]), ((TrackingTable[Type]&lt;&gt;"Income") * (-1)) + (TrackingTable[Type]="Income"))</f>
        <v>491000</v>
      </c>
      <c r="H41" s="27">
        <f>IF(AND(TrackingTable[[#This Row],[Type]]="Income", shift_late_income_status="Active", DAY(TrackingTable[[#This Row],[Date]])&gt;=shift_late_income_starting_date),
    DATE(YEAR(TrackingTable[[#This Row],[Date]]), MONTH(TrackingTable[[#This Row],[Date]])+1, 1),
    TrackingTable[[#This Row],[Date]])</f>
        <v>45511</v>
      </c>
    </row>
    <row r="42" spans="2:8" x14ac:dyDescent="0.3">
      <c r="B42" s="19">
        <v>45539</v>
      </c>
      <c r="C42" s="20" t="s">
        <v>17</v>
      </c>
      <c r="D42" s="20" t="s">
        <v>22</v>
      </c>
      <c r="E42" s="21">
        <v>1000</v>
      </c>
      <c r="F42" s="22"/>
      <c r="G42" s="13" cm="1">
        <f t="array" ref="G42">SUMPRODUCT(TrackingTable[Amount], --(TrackingTable[Date]&lt;=TrackingTable[[#This Row],[Date]]), ((TrackingTable[Type]&lt;&gt;"Income") * (-1)) + (TrackingTable[Type]="Income"))</f>
        <v>490000</v>
      </c>
      <c r="H42" s="27">
        <f>IF(AND(TrackingTable[[#This Row],[Type]]="Income", shift_late_income_status="Active", DAY(TrackingTable[[#This Row],[Date]])&gt;=shift_late_income_starting_date),
    DATE(YEAR(TrackingTable[[#This Row],[Date]]), MONTH(TrackingTable[[#This Row],[Date]])+1, 1),
    TrackingTable[[#This Row],[Date]])</f>
        <v>45539</v>
      </c>
    </row>
    <row r="43" spans="2:8" x14ac:dyDescent="0.3">
      <c r="B43" s="180">
        <v>45546</v>
      </c>
      <c r="C43" s="20" t="s">
        <v>32</v>
      </c>
      <c r="D43" s="20" t="s">
        <v>34</v>
      </c>
      <c r="E43" s="21">
        <v>10000</v>
      </c>
      <c r="F43" s="22" t="s">
        <v>290</v>
      </c>
      <c r="G43" s="13" cm="1">
        <f t="array" ref="G43">SUMPRODUCT(TrackingTable[Amount], --(TrackingTable[Date]&lt;=TrackingTable[[#This Row],[Date]]), ((TrackingTable[Type]&lt;&gt;"Income") * (-1)) + (TrackingTable[Type]="Income"))</f>
        <v>460000</v>
      </c>
      <c r="H43" s="27">
        <f>IF(AND(TrackingTable[[#This Row],[Type]]="Income", shift_late_income_status="Active", DAY(TrackingTable[[#This Row],[Date]])&gt;=shift_late_income_starting_date),
    DATE(YEAR(TrackingTable[[#This Row],[Date]]), MONTH(TrackingTable[[#This Row],[Date]])+1, 1),
    TrackingTable[[#This Row],[Date]])</f>
        <v>45546</v>
      </c>
    </row>
    <row r="44" spans="2:8" x14ac:dyDescent="0.3">
      <c r="B44" s="180">
        <v>45546</v>
      </c>
      <c r="C44" s="20" t="s">
        <v>17</v>
      </c>
      <c r="D44" s="20" t="s">
        <v>19</v>
      </c>
      <c r="E44" s="21">
        <v>20000</v>
      </c>
      <c r="F44" s="22"/>
      <c r="G44" s="13" cm="1">
        <f t="array" ref="G44">SUMPRODUCT(TrackingTable[Amount], --(TrackingTable[Date]&lt;=TrackingTable[[#This Row],[Date]]), ((TrackingTable[Type]&lt;&gt;"Income") * (-1)) + (TrackingTable[Type]="Income"))</f>
        <v>460000</v>
      </c>
      <c r="H44" s="27">
        <f>IF(AND(TrackingTable[[#This Row],[Type]]="Income", shift_late_income_status="Active", DAY(TrackingTable[[#This Row],[Date]])&gt;=shift_late_income_starting_date),
    DATE(YEAR(TrackingTable[[#This Row],[Date]]), MONTH(TrackingTable[[#This Row],[Date]])+1, 1),
    TrackingTable[[#This Row],[Date]])</f>
        <v>45546</v>
      </c>
    </row>
    <row r="45" spans="2:8" x14ac:dyDescent="0.3">
      <c r="B45" s="19">
        <v>45550</v>
      </c>
      <c r="C45" s="20" t="s">
        <v>12</v>
      </c>
      <c r="D45" s="20" t="s">
        <v>121</v>
      </c>
      <c r="E45" s="21">
        <v>2000</v>
      </c>
      <c r="F45" s="22"/>
      <c r="G45" s="13" cm="1">
        <f t="array" ref="G45">SUMPRODUCT(TrackingTable[Amount], --(TrackingTable[Date]&lt;=TrackingTable[[#This Row],[Date]]), ((TrackingTable[Type]&lt;&gt;"Income") * (-1)) + (TrackingTable[Type]="Income"))</f>
        <v>462000</v>
      </c>
      <c r="H45" s="27">
        <f>IF(AND(TrackingTable[[#This Row],[Type]]="Income", shift_late_income_status="Active", DAY(TrackingTable[[#This Row],[Date]])&gt;=shift_late_income_starting_date),
    DATE(YEAR(TrackingTable[[#This Row],[Date]]), MONTH(TrackingTable[[#This Row],[Date]])+1, 1),
    TrackingTable[[#This Row],[Date]])</f>
        <v>45550</v>
      </c>
    </row>
    <row r="46" spans="2:8" x14ac:dyDescent="0.3">
      <c r="B46" s="19">
        <v>45551</v>
      </c>
      <c r="C46" s="20" t="s">
        <v>17</v>
      </c>
      <c r="D46" s="20" t="s">
        <v>287</v>
      </c>
      <c r="E46" s="21">
        <v>5000</v>
      </c>
      <c r="F46" s="22" t="s">
        <v>291</v>
      </c>
      <c r="G46" s="13" cm="1">
        <f t="array" ref="G46">SUMPRODUCT(TrackingTable[Amount], --(TrackingTable[Date]&lt;=TrackingTable[[#This Row],[Date]]), ((TrackingTable[Type]&lt;&gt;"Income") * (-1)) + (TrackingTable[Type]="Income"))</f>
        <v>459000</v>
      </c>
      <c r="H46" s="27">
        <f>IF(AND(TrackingTable[[#This Row],[Type]]="Income", shift_late_income_status="Active", DAY(TrackingTable[[#This Row],[Date]])&gt;=shift_late_income_starting_date),
    DATE(YEAR(TrackingTable[[#This Row],[Date]]), MONTH(TrackingTable[[#This Row],[Date]])+1, 1),
    TrackingTable[[#This Row],[Date]])</f>
        <v>45551</v>
      </c>
    </row>
    <row r="47" spans="2:8" x14ac:dyDescent="0.3">
      <c r="B47" s="19">
        <v>45551</v>
      </c>
      <c r="C47" s="20" t="s">
        <v>12</v>
      </c>
      <c r="D47" s="20" t="s">
        <v>284</v>
      </c>
      <c r="E47" s="21">
        <v>2000</v>
      </c>
      <c r="F47" s="22"/>
      <c r="G47" s="13" cm="1">
        <f t="array" ref="G47">SUMPRODUCT(TrackingTable[Amount], --(TrackingTable[Date]&lt;=TrackingTable[[#This Row],[Date]]), ((TrackingTable[Type]&lt;&gt;"Income") * (-1)) + (TrackingTable[Type]="Income"))</f>
        <v>459000</v>
      </c>
      <c r="H47" s="27">
        <f>IF(AND(TrackingTable[[#This Row],[Type]]="Income", shift_late_income_status="Active", DAY(TrackingTable[[#This Row],[Date]])&gt;=shift_late_income_starting_date),
    DATE(YEAR(TrackingTable[[#This Row],[Date]]), MONTH(TrackingTable[[#This Row],[Date]])+1, 1),
    TrackingTable[[#This Row],[Date]])</f>
        <v>45551</v>
      </c>
    </row>
    <row r="48" spans="2:8" x14ac:dyDescent="0.3">
      <c r="B48" s="180">
        <v>45560</v>
      </c>
      <c r="C48" s="20" t="s">
        <v>12</v>
      </c>
      <c r="D48" s="20" t="s">
        <v>285</v>
      </c>
      <c r="E48" s="21">
        <v>2000</v>
      </c>
      <c r="F48" s="22"/>
      <c r="G48" s="13" cm="1">
        <f t="array" ref="G48">SUMPRODUCT(TrackingTable[Amount], --(TrackingTable[Date]&lt;=TrackingTable[[#This Row],[Date]]), ((TrackingTable[Type]&lt;&gt;"Income") * (-1)) + (TrackingTable[Type]="Income"))</f>
        <v>461000</v>
      </c>
      <c r="H48" s="27">
        <f>IF(AND(TrackingTable[[#This Row],[Type]]="Income", shift_late_income_status="Active", DAY(TrackingTable[[#This Row],[Date]])&gt;=shift_late_income_starting_date),
    DATE(YEAR(TrackingTable[[#This Row],[Date]]), MONTH(TrackingTable[[#This Row],[Date]])+1, 1),
    TrackingTable[[#This Row],[Date]])</f>
        <v>45560</v>
      </c>
    </row>
    <row r="72" spans="5:5" x14ac:dyDescent="0.3">
      <c r="E72" s="3" t="s">
        <v>52</v>
      </c>
    </row>
  </sheetData>
  <sheetProtection deleteColumns="0" selectLockedCells="1" selectUnlockedCells="1"/>
  <mergeCells count="3">
    <mergeCell ref="L3:M3"/>
    <mergeCell ref="J2:O2"/>
    <mergeCell ref="P15:R18"/>
  </mergeCells>
  <conditionalFormatting sqref="H4:H48">
    <cfRule type="expression" dxfId="44" priority="9">
      <formula>AND(C4="Income", shift_late_income_status="Active", DAY(B4)&gt;=shift_late_income_starting_date)</formula>
    </cfRule>
  </conditionalFormatting>
  <conditionalFormatting sqref="D48:D65">
    <cfRule type="expression" dxfId="43" priority="8">
      <formula>ISNA(MATCH(D48, INDIRECT(C48), 0))</formula>
    </cfRule>
  </conditionalFormatting>
  <conditionalFormatting sqref="E48:E65">
    <cfRule type="expression" dxfId="42" priority="7">
      <formula>C48="Income"</formula>
    </cfRule>
  </conditionalFormatting>
  <conditionalFormatting sqref="B2:J2 P2">
    <cfRule type="expression" dxfId="41" priority="4">
      <formula>shift_late_income_status="inactive"</formula>
    </cfRule>
  </conditionalFormatting>
  <conditionalFormatting sqref="M5:M13">
    <cfRule type="expression" dxfId="40" priority="3">
      <formula>shift_late_income_status="inactive"</formula>
    </cfRule>
  </conditionalFormatting>
  <conditionalFormatting sqref="D4:D48">
    <cfRule type="expression" dxfId="39" priority="2">
      <formula>ISNA(MATCH(D4, INDIRECT(C4), 0))</formula>
    </cfRule>
  </conditionalFormatting>
  <conditionalFormatting sqref="E4:E48">
    <cfRule type="expression" dxfId="38" priority="1">
      <formula>C4="Income"</formula>
    </cfRule>
  </conditionalFormatting>
  <dataValidations count="7">
    <dataValidation type="list" allowBlank="1" showInputMessage="1" showErrorMessage="1" errorTitle="Invalid category!" error="Please input a valid category" sqref="M9" xr:uid="{E5C297C0-73A8-4113-B7B7-74F32E09C8C3}">
      <formula1>INDIRECT(M7)</formula1>
    </dataValidation>
    <dataValidation type="list" allowBlank="1" showInputMessage="1" showErrorMessage="1" sqref="M7 C4:C65" xr:uid="{6AEBA651-1B36-486A-90F7-B8AFABA4789F}">
      <formula1>"Income, Expenditure, Savings"</formula1>
    </dataValidation>
    <dataValidation type="custom" allowBlank="1" showInputMessage="1" showErrorMessage="1" errorTitle="invalid Amount" error="please input a valid number" sqref="M11" xr:uid="{E9D2C252-95E8-43CA-A581-CAA0AB64A6A2}">
      <formula1>ISNUMBER(M11)</formula1>
    </dataValidation>
    <dataValidation type="date" operator="greaterThan" allowBlank="1" showInputMessage="1" showErrorMessage="1" errorTitle="invalid Dtae" error="please input a valid date" sqref="M5" xr:uid="{F9708F79-7BB2-40C2-B096-A9451F719F60}">
      <formula1>1</formula1>
    </dataValidation>
    <dataValidation type="date" operator="greaterThan" allowBlank="1" showInputMessage="1" showErrorMessage="1" errorTitle="Invalid Date" error="please input a valid date" sqref="B4:B65" xr:uid="{F28E3B5D-826B-4802-BBAE-811C218008DB}">
      <formula1>1</formula1>
    </dataValidation>
    <dataValidation type="list" allowBlank="1" showInputMessage="1" showErrorMessage="1" errorTitle="Invalid category!" error="Please input a valid category" sqref="D4:D65" xr:uid="{646A923D-2607-48BA-A158-57C03FA6FF17}">
      <formula1>INDIRECT(C4)</formula1>
    </dataValidation>
    <dataValidation type="custom" allowBlank="1" showInputMessage="1" showErrorMessage="1" errorTitle="Invalid Amount" error="please input valid number" sqref="E4:E65" xr:uid="{0C78883F-15B6-41AE-97F1-84F19A42418F}">
      <formula1>ISNUMBER(E4)</formula1>
    </dataValidation>
  </dataValidations>
  <hyperlinks>
    <hyperlink ref="O4" r:id="rId1" tooltip="Discover how to easily add a date picker! Click here to learn more about the simple installation process." display="https://youtu.be/TLVjsabOLT0?si=4sUf57oyq_6YSOCl" xr:uid="{22582ED6-5084-4459-A365-571C88419EC0}"/>
    <hyperlink ref="O5" r:id="rId2" display="https://www.youtube.com/watch?si=4sUf57oyq_6YSOCl&amp;v=TLVjsabOLT0&amp;feature=youtu.be" xr:uid="{CF6520ED-0A8C-478B-84F1-A19C0D203DAC}"/>
  </hyperlinks>
  <pageMargins left="0.70866141732283472" right="0.70866141732283472" top="0.74803149606299213" bottom="0.74803149606299213" header="0.31496062992125984" footer="0.31496062992125984"/>
  <pageSetup orientation="landscape"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9356A-CBE2-414B-8111-B53EFCBE0262}">
  <sheetPr codeName="Sheet4">
    <tabColor rgb="FFD19108"/>
  </sheetPr>
  <dimension ref="B1:AT61"/>
  <sheetViews>
    <sheetView showGridLines="0" showRowColHeaders="0" zoomScale="75" zoomScaleNormal="75" workbookViewId="0">
      <selection activeCell="AI41" sqref="AI41"/>
    </sheetView>
  </sheetViews>
  <sheetFormatPr defaultColWidth="9.109375" defaultRowHeight="14.4" x14ac:dyDescent="0.3"/>
  <cols>
    <col min="1" max="2" width="2" style="3" customWidth="1"/>
    <col min="3" max="3" width="6.77734375" style="3" hidden="1" customWidth="1"/>
    <col min="4" max="4" width="14.109375" style="3" hidden="1" customWidth="1"/>
    <col min="5" max="5" width="9.5546875" style="3" hidden="1" customWidth="1"/>
    <col min="6" max="6" width="10.88671875" style="3" hidden="1" customWidth="1"/>
    <col min="7" max="7" width="7.109375" style="3" hidden="1" customWidth="1"/>
    <col min="8" max="8" width="8.6640625" style="3" hidden="1" customWidth="1"/>
    <col min="9" max="9" width="11.44140625" style="3" hidden="1" customWidth="1"/>
    <col min="10" max="10" width="21.6640625" style="3" hidden="1" customWidth="1"/>
    <col min="11" max="11" width="8.33203125" style="3" hidden="1" customWidth="1"/>
    <col min="12" max="12" width="7.109375" style="3" hidden="1" customWidth="1"/>
    <col min="13" max="13" width="12.6640625" style="3" hidden="1" customWidth="1"/>
    <col min="14" max="14" width="13.33203125" style="3" hidden="1" customWidth="1"/>
    <col min="15" max="15" width="13.77734375" style="3" hidden="1" customWidth="1"/>
    <col min="16" max="16" width="12.44140625" style="3" hidden="1" customWidth="1"/>
    <col min="17" max="17" width="13.33203125" style="3" hidden="1" customWidth="1"/>
    <col min="18" max="18" width="12" style="3" hidden="1" customWidth="1"/>
    <col min="19" max="19" width="10.77734375" style="3" hidden="1" customWidth="1"/>
    <col min="20" max="20" width="17" style="3" hidden="1" customWidth="1"/>
    <col min="21" max="21" width="16.44140625" style="3" hidden="1" customWidth="1"/>
    <col min="22" max="22" width="26.77734375" style="3" hidden="1" customWidth="1"/>
    <col min="23" max="23" width="18" style="3" hidden="1" customWidth="1"/>
    <col min="24" max="24" width="21.77734375" style="3" hidden="1" customWidth="1"/>
    <col min="25" max="25" width="21.109375" style="3" bestFit="1" customWidth="1"/>
    <col min="26" max="27" width="17.6640625" style="35" customWidth="1"/>
    <col min="28" max="28" width="9.6640625" style="36" customWidth="1"/>
    <col min="29" max="30" width="17.6640625" style="35" customWidth="1"/>
    <col min="31" max="31" width="4.6640625" style="3" customWidth="1"/>
    <col min="32" max="32" width="12.88671875" style="3" customWidth="1"/>
    <col min="33" max="33" width="19.44140625" style="3" customWidth="1"/>
    <col min="34" max="34" width="2.33203125" style="3" customWidth="1"/>
    <col min="35" max="35" width="17" style="3" customWidth="1"/>
    <col min="36" max="36" width="11.6640625" style="3" customWidth="1"/>
    <col min="37" max="37" width="9.109375" style="3" customWidth="1"/>
    <col min="38" max="38" width="2.33203125" style="3" customWidth="1"/>
    <col min="39" max="39" width="12.88671875" style="3" customWidth="1"/>
    <col min="40" max="40" width="19.44140625" style="3" customWidth="1"/>
    <col min="41" max="41" width="2.33203125" style="3" customWidth="1"/>
    <col min="42" max="42" width="17" style="3" customWidth="1"/>
    <col min="43" max="43" width="14.44140625" style="3" bestFit="1" customWidth="1"/>
    <col min="44" max="44" width="9.109375" style="3" customWidth="1"/>
    <col min="45" max="16384" width="9.109375" style="3"/>
  </cols>
  <sheetData>
    <row r="1" spans="2:46" s="2" customFormat="1" ht="47.4" customHeight="1" x14ac:dyDescent="0.3">
      <c r="B1" s="2" t="s">
        <v>268</v>
      </c>
    </row>
    <row r="2" spans="2:46" ht="15.6" x14ac:dyDescent="0.3">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c r="AH2" s="167"/>
      <c r="AI2" s="167"/>
      <c r="AJ2" s="167"/>
      <c r="AK2" s="167"/>
      <c r="AL2" s="167"/>
      <c r="AM2" s="167"/>
      <c r="AN2" s="167"/>
      <c r="AO2" s="167"/>
      <c r="AP2" s="167"/>
      <c r="AQ2" s="167"/>
      <c r="AR2" s="167"/>
    </row>
    <row r="3" spans="2:46" ht="15.6" x14ac:dyDescent="0.3">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c r="AH3" s="167"/>
      <c r="AI3" s="167"/>
      <c r="AJ3" s="167"/>
      <c r="AK3" s="167"/>
      <c r="AL3" s="167"/>
      <c r="AM3" s="167"/>
      <c r="AN3" s="167"/>
      <c r="AO3" s="167"/>
      <c r="AP3" s="167"/>
      <c r="AQ3" s="169" t="s">
        <v>53</v>
      </c>
      <c r="AR3" s="167"/>
    </row>
    <row r="4" spans="2:46" ht="15.6" x14ac:dyDescent="0.3">
      <c r="C4" s="167"/>
      <c r="D4" s="167"/>
      <c r="E4" s="167"/>
      <c r="F4" s="167"/>
      <c r="G4" s="167"/>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c r="AH4" s="167"/>
      <c r="AI4" s="167"/>
      <c r="AJ4" s="167"/>
      <c r="AK4" s="167"/>
      <c r="AL4" s="167"/>
      <c r="AM4" s="200" t="s">
        <v>54</v>
      </c>
      <c r="AN4" s="200"/>
      <c r="AO4" s="200"/>
      <c r="AP4" s="201"/>
      <c r="AQ4" s="170" t="s">
        <v>55</v>
      </c>
      <c r="AR4" s="167"/>
    </row>
    <row r="5" spans="2:46" ht="15.6" x14ac:dyDescent="0.3">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c r="AH5" s="167"/>
      <c r="AI5" s="167"/>
      <c r="AJ5" s="167"/>
      <c r="AK5" s="167"/>
      <c r="AL5" s="167"/>
      <c r="AM5" s="167"/>
      <c r="AN5" s="167"/>
      <c r="AO5" s="167"/>
      <c r="AP5" s="167"/>
      <c r="AQ5" s="167"/>
      <c r="AR5" s="167"/>
    </row>
    <row r="6" spans="2:46" ht="15.6" x14ac:dyDescent="0.3">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9" t="s">
        <v>56</v>
      </c>
      <c r="AR6" s="167"/>
    </row>
    <row r="7" spans="2:46" ht="15.6" x14ac:dyDescent="0.3">
      <c r="C7" s="167"/>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c r="AH7" s="167"/>
      <c r="AI7" s="167"/>
      <c r="AJ7" s="167"/>
      <c r="AK7" s="167"/>
      <c r="AL7" s="167"/>
      <c r="AM7" s="200" t="s">
        <v>57</v>
      </c>
      <c r="AN7" s="200"/>
      <c r="AO7" s="200"/>
      <c r="AP7" s="201"/>
      <c r="AQ7" s="170" t="s">
        <v>267</v>
      </c>
      <c r="AR7" s="167"/>
    </row>
    <row r="8" spans="2:46" ht="15.6" x14ac:dyDescent="0.3">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row>
    <row r="9" spans="2:46" ht="15.6" x14ac:dyDescent="0.3">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167"/>
      <c r="AN9" s="167"/>
      <c r="AO9" s="167"/>
      <c r="AP9" s="167"/>
      <c r="AQ9" s="167"/>
      <c r="AR9" s="167"/>
      <c r="AT9" s="168"/>
    </row>
    <row r="10" spans="2:46" ht="18" customHeight="1" x14ac:dyDescent="0.3">
      <c r="C10" s="37"/>
      <c r="D10" s="37"/>
      <c r="E10" s="37"/>
      <c r="F10" s="37"/>
      <c r="G10" s="37"/>
      <c r="H10" s="37"/>
      <c r="I10" s="37"/>
      <c r="J10" s="37"/>
      <c r="K10" s="37"/>
      <c r="L10" s="37"/>
      <c r="M10" s="37"/>
      <c r="N10" s="37"/>
      <c r="O10" s="37"/>
      <c r="P10" s="37"/>
      <c r="Q10" s="37"/>
      <c r="R10" s="37"/>
      <c r="S10" s="37"/>
      <c r="T10" s="37"/>
      <c r="U10" s="37"/>
      <c r="V10" s="37"/>
      <c r="W10" s="37"/>
      <c r="X10" s="37"/>
      <c r="Y10" s="199" t="str">
        <f>"Breakdown - " &amp; IF(selected_period="Total Year", selected_year &amp; " (Total Year) ", selected_period_display &amp; " " &amp; selected_year)</f>
        <v xml:space="preserve">Breakdown - 2024 (Total Year) </v>
      </c>
      <c r="Z10" s="199"/>
      <c r="AA10" s="199"/>
      <c r="AB10" s="199"/>
      <c r="AC10" s="199"/>
      <c r="AD10" s="199"/>
      <c r="AF10" s="199" t="str">
        <f>"Summary - " &amp; IF(selected_period="Total Year", selected_year &amp; " (Total Year) ", selected_period_display &amp; " " &amp; selected_year)</f>
        <v xml:space="preserve">Summary - 2024 (Total Year) </v>
      </c>
      <c r="AG10" s="199"/>
      <c r="AH10" s="199"/>
      <c r="AI10" s="199"/>
      <c r="AJ10" s="199"/>
      <c r="AK10" s="199"/>
      <c r="AL10" s="199"/>
      <c r="AM10" s="199"/>
      <c r="AN10" s="199"/>
      <c r="AO10" s="199"/>
      <c r="AP10" s="199"/>
      <c r="AQ10" s="199"/>
      <c r="AR10" s="199"/>
    </row>
    <row r="11" spans="2:46" x14ac:dyDescent="0.3">
      <c r="C11" s="38" t="s">
        <v>59</v>
      </c>
      <c r="D11" s="39" t="s">
        <v>60</v>
      </c>
      <c r="E11" s="38" t="s">
        <v>61</v>
      </c>
      <c r="F11" s="40" t="s">
        <v>62</v>
      </c>
      <c r="G11" s="40" t="s">
        <v>63</v>
      </c>
      <c r="H11" s="39" t="s">
        <v>64</v>
      </c>
      <c r="I11" s="38" t="s">
        <v>65</v>
      </c>
      <c r="J11" s="40" t="s">
        <v>66</v>
      </c>
      <c r="K11" s="40" t="s">
        <v>67</v>
      </c>
      <c r="L11" s="39" t="s">
        <v>68</v>
      </c>
      <c r="M11" s="38" t="s">
        <v>69</v>
      </c>
      <c r="N11" s="39" t="s">
        <v>70</v>
      </c>
      <c r="O11" s="38" t="s">
        <v>71</v>
      </c>
      <c r="P11" s="40" t="s">
        <v>72</v>
      </c>
      <c r="Q11" s="40" t="s">
        <v>73</v>
      </c>
      <c r="R11" s="39" t="s">
        <v>74</v>
      </c>
      <c r="S11" s="38" t="s">
        <v>75</v>
      </c>
      <c r="T11" s="40" t="s">
        <v>76</v>
      </c>
      <c r="U11" s="40" t="s">
        <v>77</v>
      </c>
      <c r="V11" s="40" t="s">
        <v>78</v>
      </c>
      <c r="W11" s="39" t="s">
        <v>79</v>
      </c>
      <c r="X11" s="41" t="s">
        <v>80</v>
      </c>
    </row>
    <row r="12" spans="2:46" x14ac:dyDescent="0.3">
      <c r="C12" s="42">
        <v>7</v>
      </c>
      <c r="D12" s="43">
        <f t="shared" ref="D12:D43" si="0">IF(is_header, row_id,
   IF(NOT(is_empty), D11, -1))</f>
        <v>7</v>
      </c>
      <c r="E12" s="42" cm="1">
        <f t="array" ref="E12">1*OR(row_id=income_header_row, row_id=expenditure_header_row, row_id=savings_header_row)</f>
        <v>1</v>
      </c>
      <c r="F12" s="3">
        <f t="shared" ref="F12:F43" si="1">1*NOT(OR(is_header, is_total, is_empty))</f>
        <v>0</v>
      </c>
      <c r="G12" s="3" cm="1">
        <f t="array" ref="G12">1*OR(row_id=income_total_row, row_id=expenditure_total_row, row_id=savings_total_row)</f>
        <v>0</v>
      </c>
      <c r="H12" s="43">
        <f t="shared" ref="H12:H43" si="2">1* OR(row_id="/1", row_id="/2", row_id=-1)</f>
        <v>0</v>
      </c>
      <c r="I12" s="42" t="str" cm="1">
        <f t="array" ref="I12">IFERROR(INDEX('Budget Plannning'!$B:$B, header_row_id), " ")</f>
        <v>Income</v>
      </c>
      <c r="J12" s="3" t="str" cm="1">
        <f t="array" ref="J12">IFERROR(INDEX('Budget Plannning'!$B:$B, row_id), " ")</f>
        <v>Income</v>
      </c>
      <c r="K12" s="44" t="str" cm="1">
        <f t="array" ref="K12">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12" s="45" t="str" cm="1">
        <f t="array" ref="L12">IF(OR(is_header, is_empty), "",
  INDEX('Budget Plannning'!$D:$GB, row_id,
    MATCH(IF(selected_period="Total Year", selected_year, DATE(selected_year, selected_period, 1)), 'Budget Plannning'!$D$7:$GB$7, 0)
  )
)</f>
        <v/>
      </c>
      <c r="M12" s="42" t="str" cm="1">
        <f t="array" ref="M12">IF(is_category,
  IF(header_row_id=income_header_row, MATCH(income_min_row, $C:$C, 0),
    IF(header_row_id=expenditure_header_row, MATCH(expenditure_min_row, $C:$C, 0),
      IF(header_row_id=savings_header_row, MATCH(savings_min_row, $C:$C, 0), ""))), "")</f>
        <v/>
      </c>
      <c r="N12" s="43" t="str" cm="1">
        <f t="array" ref="N12">IF(is_category,
  IF(header_row_id=income_header_row, MATCH(income_max_row, $C:$C, 0),
    IF(header_row_id=expenditure_header_row, MATCH(expenditure_max_row, $C:$C, 0),
      IF(header_row_id=savings_header_row, MATCH(savings_max_row, $C:$C, 0), ""))), "")</f>
        <v/>
      </c>
      <c r="O12" s="42" t="str">
        <f t="shared" ref="O12:O43" si="3">IF(is_category, ADDRESS(sort_min_row, COLUMN(tracked)) &amp; ":" &amp; ADDRESS(sort_max_row, COLUMN(tracked)), "")</f>
        <v/>
      </c>
      <c r="P12" s="3" t="str">
        <f t="shared" ref="P12:P43" ca="1" si="4">IF(is_category, RANK(tracked, INDIRECT(tracked_range), 0), "")</f>
        <v/>
      </c>
      <c r="Q12" s="3" t="str">
        <f t="shared" ref="Q12:Q43" si="5">IF(is_category, ADDRESS(sort_min_row, COLUMN(budget)) &amp; ":" &amp; ADDRESS(sort_max_row, COLUMN(budget)), "")</f>
        <v/>
      </c>
      <c r="R12" s="43" t="str">
        <f t="shared" ref="R12:R43" ca="1" si="6">IF(is_category, RANK(budget, INDIRECT(budget_range), 0), "")</f>
        <v/>
      </c>
      <c r="S12" s="42" t="str">
        <f t="shared" ref="S12:S43" si="7">IF(is_category, _xlfn.NUMBERVALUE(tracked_rank &amp; budget_rank), "")</f>
        <v/>
      </c>
      <c r="T12" s="3" t="str">
        <f t="shared" ref="T12:T43" si="8">IF(is_category, ADDRESS(sort_min_row, COLUMN(comb_rank)) &amp; ":" &amp; ADDRESS(sort_max_row, COLUMN(comb_rank)), "")</f>
        <v/>
      </c>
      <c r="U12" s="3" t="str">
        <f t="shared" ref="U12:U43" ca="1" si="9">IF(is_category, RANK(comb_rank, INDIRECT(comb_rank_range), 1), "")</f>
        <v/>
      </c>
      <c r="V12" s="3" t="str">
        <f t="shared" ref="V12:V43" si="10">IF(is_category, ADDRESS(sort_min_row, COLUMN(comb_rank_norm)) &amp; ":" &amp; ADDRESS(ROW(), COLUMN(comb_rank_norm)), "")</f>
        <v/>
      </c>
      <c r="W12" s="43" t="str">
        <f t="shared" ref="W12:W43" ca="1" si="11">IF(is_category,comb_rank_norm + COUNTIF(INDIRECT(comb_rank_norm_run_range), comb_rank_norm)-1, "")</f>
        <v/>
      </c>
      <c r="X12" s="46">
        <f t="shared" ref="X12:X43" si="12">IF(is_category, header_row_id+comb_rank_unique, row_id)</f>
        <v>7</v>
      </c>
      <c r="Y12" s="47" t="str">
        <f t="shared" ref="Y12:Y43" si="13">IF(is_empty, "", INDEX($J:$J, MATCH(row_id, $X:$X, 0)))</f>
        <v>Income</v>
      </c>
      <c r="Z12" s="48" t="str">
        <f t="shared" ref="Z12:Z43" si="14">IF(is_empty, "", IF(is_header, "Tracked", INDEX($K:$K, MATCH(row_id, $X:$X, 0))))</f>
        <v>Tracked</v>
      </c>
      <c r="AA12" s="48" t="str">
        <f t="shared" ref="AA12:AA43" si="15">IF(is_empty, "", IF(is_header, "Budget", INDEX($L:$L, MATCH(row_id, $X:$X, 0))))</f>
        <v>Budget</v>
      </c>
      <c r="AB12" s="49" t="str">
        <f t="shared" ref="AB12:AB61" si="16">IF(is_empty, "", IF(is_header, "% Compl.", IFERROR(out_tracked/out_budget, "-")))</f>
        <v>% Compl.</v>
      </c>
      <c r="AC12" s="48" t="str">
        <f t="shared" ref="AC12:AC43" si="17">IF(is_empty, "", IF(is_header, "Remaining", IF(out_budget-out_tracked &gt; 0, out_budget-out_tracked, 0)))</f>
        <v>Remaining</v>
      </c>
      <c r="AD12" s="48" t="str">
        <f t="shared" ref="AD12:AD43" si="18">IF(is_empty, "", IF(is_header, "Excess", IF(out_budget-out_tracked &lt; 0, out_tracked-out_budget, 0)))</f>
        <v>Excess</v>
      </c>
      <c r="AF12" s="50"/>
      <c r="AG12" s="51"/>
      <c r="AH12" s="51"/>
      <c r="AI12" s="51"/>
      <c r="AJ12" s="51"/>
      <c r="AK12" s="52"/>
      <c r="AM12" s="50"/>
      <c r="AN12" s="51"/>
      <c r="AO12" s="51"/>
      <c r="AP12" s="51"/>
      <c r="AQ12" s="51"/>
      <c r="AR12" s="52"/>
    </row>
    <row r="13" spans="2:46" x14ac:dyDescent="0.3">
      <c r="C13" s="42" cm="1">
        <f t="array" ref="C13">IF(C12=-1, -1,
  IF(C12&lt;income_max_row, C12+1,
    IF(C12=income_max_row, income_total_row,
      IF(C12=income_total_row, "/1",
        IF(C12="/1", expenditure_header_row,
          IF(C12&lt;expenditure_max_row, C12+1,
            IF(C12=expenditure_max_row, expenditure_total_row,
              IF(C12=expenditure_total_row, "/2",
                IF(C12="/2", savings_header_row,
                  IF(C12&lt;savings_max_row, C12+1,
                    IF(C12=savings_max_row, savings_total_row, -1)))))))))))</f>
        <v>8</v>
      </c>
      <c r="D13" s="43">
        <f t="shared" si="0"/>
        <v>7</v>
      </c>
      <c r="E13" s="42" cm="1">
        <f t="array" ref="E13">1*OR(row_id=income_header_row, row_id=expenditure_header_row, row_id=savings_header_row)</f>
        <v>0</v>
      </c>
      <c r="F13" s="3">
        <f t="shared" si="1"/>
        <v>1</v>
      </c>
      <c r="G13" s="3" cm="1">
        <f t="array" ref="G13">1*OR(row_id=income_total_row, row_id=expenditure_total_row, row_id=savings_total_row)</f>
        <v>0</v>
      </c>
      <c r="H13" s="43">
        <f t="shared" si="2"/>
        <v>0</v>
      </c>
      <c r="I13" s="42" t="str" cm="1">
        <f t="array" ref="I13">IFERROR(INDEX('Budget Plannning'!$B:$B, header_row_id), " ")</f>
        <v>Income</v>
      </c>
      <c r="J13" s="3" t="str" cm="1">
        <f t="array" ref="J13">IFERROR(INDEX('Budget Plannning'!$B:$B, row_id), " ")</f>
        <v>Salary</v>
      </c>
      <c r="K13" s="44" cm="1">
        <f t="array" ref="K13">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800000</v>
      </c>
      <c r="L13" s="45" cm="1">
        <f t="array" ref="L13">IF(OR(is_header, is_empty), "",
  INDEX('Budget Plannning'!$D:$GB, row_id,
    MATCH(IF(selected_period="Total Year", selected_year, DATE(selected_year, selected_period, 1)), 'Budget Plannning'!$D$7:$GB$7, 0)
  )
)</f>
        <v>1200000</v>
      </c>
      <c r="M13" s="42" cm="1">
        <f t="array" ref="M13">IF(is_category,
  IF(header_row_id=income_header_row, MATCH(income_min_row, $C:$C, 0),
    IF(header_row_id=expenditure_header_row, MATCH(expenditure_min_row, $C:$C, 0),
      IF(header_row_id=savings_header_row, MATCH(savings_min_row, $C:$C, 0), ""))), "")</f>
        <v>13</v>
      </c>
      <c r="N13" s="43" cm="1">
        <f t="array" ref="N13">IF(is_category,
  IF(header_row_id=income_header_row, MATCH(income_max_row, $C:$C, 0),
    IF(header_row_id=expenditure_header_row, MATCH(expenditure_max_row, $C:$C, 0),
      IF(header_row_id=savings_header_row, MATCH(savings_max_row, $C:$C, 0), ""))), "")</f>
        <v>20</v>
      </c>
      <c r="O13" s="42" t="str">
        <f t="shared" si="3"/>
        <v>$K$13:$K$20</v>
      </c>
      <c r="P13" s="3">
        <f t="shared" ca="1" si="4"/>
        <v>1</v>
      </c>
      <c r="Q13" s="3" t="str">
        <f t="shared" si="5"/>
        <v>$L$13:$L$20</v>
      </c>
      <c r="R13" s="43">
        <f t="shared" ca="1" si="6"/>
        <v>1</v>
      </c>
      <c r="S13" s="42">
        <f t="shared" ca="1" si="7"/>
        <v>11</v>
      </c>
      <c r="T13" s="3" t="str">
        <f t="shared" si="8"/>
        <v>$S$13:$S$20</v>
      </c>
      <c r="U13" s="3">
        <f t="shared" ca="1" si="9"/>
        <v>1</v>
      </c>
      <c r="V13" s="3" t="str">
        <f t="shared" si="10"/>
        <v>$U$13:$U$13</v>
      </c>
      <c r="W13" s="43">
        <f t="shared" ca="1" si="11"/>
        <v>1</v>
      </c>
      <c r="X13" s="46">
        <f t="shared" ca="1" si="12"/>
        <v>8</v>
      </c>
      <c r="Y13" s="47" t="str">
        <f t="shared" ca="1" si="13"/>
        <v>Salary</v>
      </c>
      <c r="Z13" s="48">
        <f t="shared" ca="1" si="14"/>
        <v>800000</v>
      </c>
      <c r="AA13" s="48">
        <f t="shared" ca="1" si="15"/>
        <v>1200000</v>
      </c>
      <c r="AB13" s="49">
        <f t="shared" ca="1" si="16"/>
        <v>0.66666666666666663</v>
      </c>
      <c r="AC13" s="48">
        <f t="shared" ca="1" si="17"/>
        <v>400000</v>
      </c>
      <c r="AD13" s="48">
        <f t="shared" ca="1" si="18"/>
        <v>0</v>
      </c>
      <c r="AF13" s="42"/>
      <c r="AK13" s="43"/>
      <c r="AM13" s="42"/>
      <c r="AR13" s="43"/>
    </row>
    <row r="14" spans="2:46" x14ac:dyDescent="0.3">
      <c r="C14" s="42" cm="1">
        <f t="array" ref="C14">IF(C13=-1, -1,
  IF(C13&lt;income_max_row, C13+1,
    IF(C13=income_max_row, income_total_row,
      IF(C13=income_total_row, "/1",
        IF(C13="/1", expenditure_header_row,
          IF(C13&lt;expenditure_max_row, C13+1,
            IF(C13=expenditure_max_row, expenditure_total_row,
              IF(C13=expenditure_total_row, "/2",
                IF(C13="/2", savings_header_row,
                  IF(C13&lt;savings_max_row, C13+1,
                    IF(C13=savings_max_row, savings_total_row, -1)))))))))))</f>
        <v>9</v>
      </c>
      <c r="D14" s="43">
        <f t="shared" si="0"/>
        <v>7</v>
      </c>
      <c r="E14" s="42" cm="1">
        <f t="array" ref="E14">1*OR(row_id=income_header_row, row_id=expenditure_header_row, row_id=savings_header_row)</f>
        <v>0</v>
      </c>
      <c r="F14" s="3">
        <f t="shared" si="1"/>
        <v>1</v>
      </c>
      <c r="G14" s="3" cm="1">
        <f t="array" ref="G14">1*OR(row_id=income_total_row, row_id=expenditure_total_row, row_id=savings_total_row)</f>
        <v>0</v>
      </c>
      <c r="H14" s="43">
        <f t="shared" si="2"/>
        <v>0</v>
      </c>
      <c r="I14" s="42" t="str" cm="1">
        <f t="array" ref="I14">IFERROR(INDEX('Budget Plannning'!$B:$B, header_row_id), " ")</f>
        <v>Income</v>
      </c>
      <c r="J14" s="3" t="str" cm="1">
        <f t="array" ref="J14">IFERROR(INDEX('Budget Plannning'!$B:$B, row_id), " ")</f>
        <v>Freelance/Contract Work</v>
      </c>
      <c r="K14" s="44" cm="1">
        <f t="array" ref="K14">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4000</v>
      </c>
      <c r="L14" s="45" cm="1">
        <f t="array" ref="L14">IF(OR(is_header, is_empty), "",
  INDEX('Budget Plannning'!$D:$GB, row_id,
    MATCH(IF(selected_period="Total Year", selected_year, DATE(selected_year, selected_period, 1)), 'Budget Plannning'!$D$7:$GB$7, 0)
  )
)</f>
        <v>240000</v>
      </c>
      <c r="M14" s="42" cm="1">
        <f t="array" ref="M14">IF(is_category,
  IF(header_row_id=income_header_row, MATCH(income_min_row, $C:$C, 0),
    IF(header_row_id=expenditure_header_row, MATCH(expenditure_min_row, $C:$C, 0),
      IF(header_row_id=savings_header_row, MATCH(savings_min_row, $C:$C, 0), ""))), "")</f>
        <v>13</v>
      </c>
      <c r="N14" s="43" cm="1">
        <f t="array" ref="N14">IF(is_category,
  IF(header_row_id=income_header_row, MATCH(income_max_row, $C:$C, 0),
    IF(header_row_id=expenditure_header_row, MATCH(expenditure_max_row, $C:$C, 0),
      IF(header_row_id=savings_header_row, MATCH(savings_max_row, $C:$C, 0), ""))), "")</f>
        <v>20</v>
      </c>
      <c r="O14" s="42" t="str">
        <f t="shared" si="3"/>
        <v>$K$13:$K$20</v>
      </c>
      <c r="P14" s="3">
        <f t="shared" ca="1" si="4"/>
        <v>2</v>
      </c>
      <c r="Q14" s="3" t="str">
        <f t="shared" si="5"/>
        <v>$L$13:$L$20</v>
      </c>
      <c r="R14" s="43">
        <f t="shared" ca="1" si="6"/>
        <v>3</v>
      </c>
      <c r="S14" s="42">
        <f t="shared" ca="1" si="7"/>
        <v>23</v>
      </c>
      <c r="T14" s="3" t="str">
        <f t="shared" si="8"/>
        <v>$S$13:$S$20</v>
      </c>
      <c r="U14" s="3">
        <f t="shared" ca="1" si="9"/>
        <v>2</v>
      </c>
      <c r="V14" s="3" t="str">
        <f t="shared" si="10"/>
        <v>$U$13:$U$14</v>
      </c>
      <c r="W14" s="43">
        <f t="shared" ca="1" si="11"/>
        <v>2</v>
      </c>
      <c r="X14" s="46">
        <f t="shared" ca="1" si="12"/>
        <v>9</v>
      </c>
      <c r="Y14" s="47" t="str">
        <f t="shared" ca="1" si="13"/>
        <v>Freelance/Contract Work</v>
      </c>
      <c r="Z14" s="48">
        <f t="shared" ca="1" si="14"/>
        <v>4000</v>
      </c>
      <c r="AA14" s="48">
        <f t="shared" ca="1" si="15"/>
        <v>240000</v>
      </c>
      <c r="AB14" s="49">
        <f t="shared" ca="1" si="16"/>
        <v>1.6666666666666666E-2</v>
      </c>
      <c r="AC14" s="48">
        <f t="shared" ca="1" si="17"/>
        <v>236000</v>
      </c>
      <c r="AD14" s="48">
        <f t="shared" ca="1" si="18"/>
        <v>0</v>
      </c>
      <c r="AF14" s="42"/>
      <c r="AK14" s="43"/>
      <c r="AM14" s="42"/>
      <c r="AR14" s="43"/>
    </row>
    <row r="15" spans="2:46" x14ac:dyDescent="0.3">
      <c r="C15" s="42" cm="1">
        <f t="array" ref="C15">IF(C14=-1, -1,
  IF(C14&lt;income_max_row, C14+1,
    IF(C14=income_max_row, income_total_row,
      IF(C14=income_total_row, "/1",
        IF(C14="/1", expenditure_header_row,
          IF(C14&lt;expenditure_max_row, C14+1,
            IF(C14=expenditure_max_row, expenditure_total_row,
              IF(C14=expenditure_total_row, "/2",
                IF(C14="/2", savings_header_row,
                  IF(C14&lt;savings_max_row, C14+1,
                    IF(C14=savings_max_row, savings_total_row, -1)))))))))))</f>
        <v>10</v>
      </c>
      <c r="D15" s="43">
        <f t="shared" si="0"/>
        <v>7</v>
      </c>
      <c r="E15" s="42" cm="1">
        <f t="array" ref="E15">1*OR(row_id=income_header_row, row_id=expenditure_header_row, row_id=savings_header_row)</f>
        <v>0</v>
      </c>
      <c r="F15" s="3">
        <f t="shared" si="1"/>
        <v>1</v>
      </c>
      <c r="G15" s="3" cm="1">
        <f t="array" ref="G15">1*OR(row_id=income_total_row, row_id=expenditure_total_row, row_id=savings_total_row)</f>
        <v>0</v>
      </c>
      <c r="H15" s="43">
        <f t="shared" si="2"/>
        <v>0</v>
      </c>
      <c r="I15" s="42" t="str" cm="1">
        <f t="array" ref="I15">IFERROR(INDEX('Budget Plannning'!$B:$B, header_row_id), " ")</f>
        <v>Income</v>
      </c>
      <c r="J15" s="3" t="str" cm="1">
        <f t="array" ref="J15">IFERROR(INDEX('Budget Plannning'!$B:$B, row_id), " ")</f>
        <v>Google Adscence</v>
      </c>
      <c r="K15" s="44" cm="1">
        <f t="array" ref="K15">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2000</v>
      </c>
      <c r="L15" s="45" cm="1">
        <f t="array" ref="L15">IF(OR(is_header, is_empty), "",
  INDEX('Budget Plannning'!$D:$GB, row_id,
    MATCH(IF(selected_period="Total Year", selected_year, DATE(selected_year, selected_period, 1)), 'Budget Plannning'!$D$7:$GB$7, 0)
  )
)</f>
        <v>120000</v>
      </c>
      <c r="M15" s="42" cm="1">
        <f t="array" ref="M15">IF(is_category,
  IF(header_row_id=income_header_row, MATCH(income_min_row, $C:$C, 0),
    IF(header_row_id=expenditure_header_row, MATCH(expenditure_min_row, $C:$C, 0),
      IF(header_row_id=savings_header_row, MATCH(savings_min_row, $C:$C, 0), ""))), "")</f>
        <v>13</v>
      </c>
      <c r="N15" s="43" cm="1">
        <f t="array" ref="N15">IF(is_category,
  IF(header_row_id=income_header_row, MATCH(income_max_row, $C:$C, 0),
    IF(header_row_id=expenditure_header_row, MATCH(expenditure_max_row, $C:$C, 0),
      IF(header_row_id=savings_header_row, MATCH(savings_max_row, $C:$C, 0), ""))), "")</f>
        <v>20</v>
      </c>
      <c r="O15" s="42" t="str">
        <f t="shared" si="3"/>
        <v>$K$13:$K$20</v>
      </c>
      <c r="P15" s="3">
        <f t="shared" ca="1" si="4"/>
        <v>3</v>
      </c>
      <c r="Q15" s="3" t="str">
        <f t="shared" si="5"/>
        <v>$L$13:$L$20</v>
      </c>
      <c r="R15" s="43">
        <f t="shared" ca="1" si="6"/>
        <v>4</v>
      </c>
      <c r="S15" s="42">
        <f t="shared" ca="1" si="7"/>
        <v>34</v>
      </c>
      <c r="T15" s="3" t="str">
        <f t="shared" si="8"/>
        <v>$S$13:$S$20</v>
      </c>
      <c r="U15" s="3">
        <f t="shared" ca="1" si="9"/>
        <v>4</v>
      </c>
      <c r="V15" s="3" t="str">
        <f t="shared" si="10"/>
        <v>$U$13:$U$15</v>
      </c>
      <c r="W15" s="43">
        <f t="shared" ca="1" si="11"/>
        <v>4</v>
      </c>
      <c r="X15" s="46">
        <f t="shared" ca="1" si="12"/>
        <v>11</v>
      </c>
      <c r="Y15" s="47" t="str">
        <f t="shared" ca="1" si="13"/>
        <v>Shopify Store</v>
      </c>
      <c r="Z15" s="48">
        <f t="shared" ca="1" si="14"/>
        <v>2000</v>
      </c>
      <c r="AA15" s="48">
        <f t="shared" ca="1" si="15"/>
        <v>480000</v>
      </c>
      <c r="AB15" s="49">
        <f t="shared" ca="1" si="16"/>
        <v>4.1666666666666666E-3</v>
      </c>
      <c r="AC15" s="48">
        <f t="shared" ca="1" si="17"/>
        <v>478000</v>
      </c>
      <c r="AD15" s="48">
        <f t="shared" ca="1" si="18"/>
        <v>0</v>
      </c>
      <c r="AF15" s="42"/>
      <c r="AH15" s="3" t="s">
        <v>52</v>
      </c>
      <c r="AI15" s="53" t="str">
        <f ca="1">Calculations!D35</f>
        <v>Salary</v>
      </c>
      <c r="AJ15" s="54">
        <f ca="1">Calculations!E35</f>
        <v>800000</v>
      </c>
      <c r="AK15" s="43"/>
      <c r="AM15" s="42"/>
      <c r="AR15" s="43"/>
    </row>
    <row r="16" spans="2:46" x14ac:dyDescent="0.3">
      <c r="C16" s="42" cm="1">
        <f t="array" ref="C16">IF(C15=-1, -1,
  IF(C15&lt;income_max_row, C15+1,
    IF(C15=income_max_row, income_total_row,
      IF(C15=income_total_row, "/1",
        IF(C15="/1", expenditure_header_row,
          IF(C15&lt;expenditure_max_row, C15+1,
            IF(C15=expenditure_max_row, expenditure_total_row,
              IF(C15=expenditure_total_row, "/2",
                IF(C15="/2", savings_header_row,
                  IF(C15&lt;savings_max_row, C15+1,
                    IF(C15=savings_max_row, savings_total_row, -1)))))))))))</f>
        <v>11</v>
      </c>
      <c r="D16" s="43">
        <f t="shared" si="0"/>
        <v>7</v>
      </c>
      <c r="E16" s="42" cm="1">
        <f t="array" ref="E16">1*OR(row_id=income_header_row, row_id=expenditure_header_row, row_id=savings_header_row)</f>
        <v>0</v>
      </c>
      <c r="F16" s="3">
        <f t="shared" si="1"/>
        <v>1</v>
      </c>
      <c r="G16" s="3" cm="1">
        <f t="array" ref="G16">1*OR(row_id=income_total_row, row_id=expenditure_total_row, row_id=savings_total_row)</f>
        <v>0</v>
      </c>
      <c r="H16" s="43">
        <f t="shared" si="2"/>
        <v>0</v>
      </c>
      <c r="I16" s="42" t="str" cm="1">
        <f t="array" ref="I16">IFERROR(INDEX('Budget Plannning'!$B:$B, header_row_id), " ")</f>
        <v>Income</v>
      </c>
      <c r="J16" s="3" t="str" cm="1">
        <f t="array" ref="J16">IFERROR(INDEX('Budget Plannning'!$B:$B, row_id), " ")</f>
        <v>Shopify Store</v>
      </c>
      <c r="K16" s="44" cm="1">
        <f t="array" ref="K16">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2000</v>
      </c>
      <c r="L16" s="45" cm="1">
        <f t="array" ref="L16">IF(OR(is_header, is_empty), "",
  INDEX('Budget Plannning'!$D:$GB, row_id,
    MATCH(IF(selected_period="Total Year", selected_year, DATE(selected_year, selected_period, 1)), 'Budget Plannning'!$D$7:$GB$7, 0)
  )
)</f>
        <v>480000</v>
      </c>
      <c r="M16" s="42" cm="1">
        <f t="array" ref="M16">IF(is_category,
  IF(header_row_id=income_header_row, MATCH(income_min_row, $C:$C, 0),
    IF(header_row_id=expenditure_header_row, MATCH(expenditure_min_row, $C:$C, 0),
      IF(header_row_id=savings_header_row, MATCH(savings_min_row, $C:$C, 0), ""))), "")</f>
        <v>13</v>
      </c>
      <c r="N16" s="43" cm="1">
        <f t="array" ref="N16">IF(is_category,
  IF(header_row_id=income_header_row, MATCH(income_max_row, $C:$C, 0),
    IF(header_row_id=expenditure_header_row, MATCH(expenditure_max_row, $C:$C, 0),
      IF(header_row_id=savings_header_row, MATCH(savings_max_row, $C:$C, 0), ""))), "")</f>
        <v>20</v>
      </c>
      <c r="O16" s="42" t="str">
        <f t="shared" si="3"/>
        <v>$K$13:$K$20</v>
      </c>
      <c r="P16" s="3">
        <f t="shared" ca="1" si="4"/>
        <v>3</v>
      </c>
      <c r="Q16" s="3" t="str">
        <f t="shared" si="5"/>
        <v>$L$13:$L$20</v>
      </c>
      <c r="R16" s="43">
        <f t="shared" ca="1" si="6"/>
        <v>2</v>
      </c>
      <c r="S16" s="42">
        <f t="shared" ca="1" si="7"/>
        <v>32</v>
      </c>
      <c r="T16" s="3" t="str">
        <f t="shared" si="8"/>
        <v>$S$13:$S$20</v>
      </c>
      <c r="U16" s="3">
        <f t="shared" ca="1" si="9"/>
        <v>3</v>
      </c>
      <c r="V16" s="3" t="str">
        <f t="shared" si="10"/>
        <v>$U$13:$U$16</v>
      </c>
      <c r="W16" s="43">
        <f t="shared" ca="1" si="11"/>
        <v>3</v>
      </c>
      <c r="X16" s="46">
        <f t="shared" ca="1" si="12"/>
        <v>10</v>
      </c>
      <c r="Y16" s="47" t="str">
        <f t="shared" ca="1" si="13"/>
        <v>Google Adscence</v>
      </c>
      <c r="Z16" s="48">
        <f t="shared" ca="1" si="14"/>
        <v>2000</v>
      </c>
      <c r="AA16" s="48">
        <f t="shared" ca="1" si="15"/>
        <v>120000</v>
      </c>
      <c r="AB16" s="49">
        <f t="shared" ca="1" si="16"/>
        <v>1.6666666666666666E-2</v>
      </c>
      <c r="AC16" s="48">
        <f t="shared" ca="1" si="17"/>
        <v>118000</v>
      </c>
      <c r="AD16" s="48">
        <f t="shared" ca="1" si="18"/>
        <v>0</v>
      </c>
      <c r="AF16" s="42"/>
      <c r="AI16" s="53" t="str">
        <f ca="1">Calculations!D36</f>
        <v>Freelance/Contract Work</v>
      </c>
      <c r="AJ16" s="54">
        <f ca="1">Calculations!E36</f>
        <v>4000</v>
      </c>
      <c r="AK16" s="43"/>
      <c r="AM16" s="42"/>
      <c r="AR16" s="43"/>
    </row>
    <row r="17" spans="3:44" x14ac:dyDescent="0.3">
      <c r="C17" s="42" cm="1">
        <f t="array" ref="C17">IF(C16=-1, -1,
  IF(C16&lt;income_max_row, C16+1,
    IF(C16=income_max_row, income_total_row,
      IF(C16=income_total_row, "/1",
        IF(C16="/1", expenditure_header_row,
          IF(C16&lt;expenditure_max_row, C16+1,
            IF(C16=expenditure_max_row, expenditure_total_row,
              IF(C16=expenditure_total_row, "/2",
                IF(C16="/2", savings_header_row,
                  IF(C16&lt;savings_max_row, C16+1,
                    IF(C16=savings_max_row, savings_total_row, -1)))))))))))</f>
        <v>12</v>
      </c>
      <c r="D17" s="43">
        <f t="shared" si="0"/>
        <v>7</v>
      </c>
      <c r="E17" s="42" cm="1">
        <f t="array" ref="E17">1*OR(row_id=income_header_row, row_id=expenditure_header_row, row_id=savings_header_row)</f>
        <v>0</v>
      </c>
      <c r="F17" s="3">
        <f t="shared" si="1"/>
        <v>1</v>
      </c>
      <c r="G17" s="3" cm="1">
        <f t="array" ref="G17">1*OR(row_id=income_total_row, row_id=expenditure_total_row, row_id=savings_total_row)</f>
        <v>0</v>
      </c>
      <c r="H17" s="43">
        <f t="shared" si="2"/>
        <v>0</v>
      </c>
      <c r="I17" s="42" t="str" cm="1">
        <f t="array" ref="I17">IFERROR(INDEX('Budget Plannning'!$B:$B, header_row_id), " ")</f>
        <v>Income</v>
      </c>
      <c r="J17" s="3" t="str" cm="1">
        <f t="array" ref="J17">IFERROR(INDEX('Budget Plannning'!$B:$B, row_id), " ")</f>
        <v>Bonus</v>
      </c>
      <c r="K17" s="44" cm="1">
        <f t="array" ref="K17">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17" s="45" cm="1">
        <f t="array" ref="L17">IF(OR(is_header, is_empty), "",
  INDEX('Budget Plannning'!$D:$GB, row_id,
    MATCH(IF(selected_period="Total Year", selected_year, DATE(selected_year, selected_period, 1)), 'Budget Plannning'!$D$7:$GB$7, 0)
  )
)</f>
        <v>0</v>
      </c>
      <c r="M17" s="42" cm="1">
        <f t="array" ref="M17">IF(is_category,
  IF(header_row_id=income_header_row, MATCH(income_min_row, $C:$C, 0),
    IF(header_row_id=expenditure_header_row, MATCH(expenditure_min_row, $C:$C, 0),
      IF(header_row_id=savings_header_row, MATCH(savings_min_row, $C:$C, 0), ""))), "")</f>
        <v>13</v>
      </c>
      <c r="N17" s="43" cm="1">
        <f t="array" ref="N17">IF(is_category,
  IF(header_row_id=income_header_row, MATCH(income_max_row, $C:$C, 0),
    IF(header_row_id=expenditure_header_row, MATCH(expenditure_max_row, $C:$C, 0),
      IF(header_row_id=savings_header_row, MATCH(savings_max_row, $C:$C, 0), ""))), "")</f>
        <v>20</v>
      </c>
      <c r="O17" s="42" t="str">
        <f t="shared" si="3"/>
        <v>$K$13:$K$20</v>
      </c>
      <c r="P17" s="3">
        <f t="shared" ca="1" si="4"/>
        <v>5</v>
      </c>
      <c r="Q17" s="3" t="str">
        <f t="shared" si="5"/>
        <v>$L$13:$L$20</v>
      </c>
      <c r="R17" s="43">
        <f t="shared" ca="1" si="6"/>
        <v>5</v>
      </c>
      <c r="S17" s="42">
        <f t="shared" ca="1" si="7"/>
        <v>55</v>
      </c>
      <c r="T17" s="3" t="str">
        <f t="shared" si="8"/>
        <v>$S$13:$S$20</v>
      </c>
      <c r="U17" s="3">
        <f t="shared" ca="1" si="9"/>
        <v>5</v>
      </c>
      <c r="V17" s="3" t="str">
        <f t="shared" si="10"/>
        <v>$U$13:$U$17</v>
      </c>
      <c r="W17" s="43">
        <f t="shared" ca="1" si="11"/>
        <v>5</v>
      </c>
      <c r="X17" s="46">
        <f t="shared" ca="1" si="12"/>
        <v>12</v>
      </c>
      <c r="Y17" s="47" t="str">
        <f t="shared" ca="1" si="13"/>
        <v>Bonus</v>
      </c>
      <c r="Z17" s="48">
        <f t="shared" ca="1" si="14"/>
        <v>0</v>
      </c>
      <c r="AA17" s="48">
        <f t="shared" ca="1" si="15"/>
        <v>0</v>
      </c>
      <c r="AB17" s="49" t="str">
        <f t="shared" ca="1" si="16"/>
        <v>-</v>
      </c>
      <c r="AC17" s="48">
        <f t="shared" ca="1" si="17"/>
        <v>0</v>
      </c>
      <c r="AD17" s="48">
        <f t="shared" ca="1" si="18"/>
        <v>0</v>
      </c>
      <c r="AF17" s="42"/>
      <c r="AI17" s="53" t="str">
        <f ca="1">Calculations!D37</f>
        <v>Shopify Store</v>
      </c>
      <c r="AJ17" s="54">
        <f ca="1">Calculations!E37</f>
        <v>2000</v>
      </c>
      <c r="AK17" s="43"/>
      <c r="AM17" s="42"/>
      <c r="AR17" s="43"/>
    </row>
    <row r="18" spans="3:44" x14ac:dyDescent="0.3">
      <c r="C18" s="42" cm="1">
        <f t="array" ref="C18">IF(C17=-1, -1,
  IF(C17&lt;income_max_row, C17+1,
    IF(C17=income_max_row, income_total_row,
      IF(C17=income_total_row, "/1",
        IF(C17="/1", expenditure_header_row,
          IF(C17&lt;expenditure_max_row, C17+1,
            IF(C17=expenditure_max_row, expenditure_total_row,
              IF(C17=expenditure_total_row, "/2",
                IF(C17="/2", savings_header_row,
                  IF(C17&lt;savings_max_row, C17+1,
                    IF(C17=savings_max_row, savings_total_row, -1)))))))))))</f>
        <v>13</v>
      </c>
      <c r="D18" s="43">
        <f t="shared" si="0"/>
        <v>7</v>
      </c>
      <c r="E18" s="42" cm="1">
        <f t="array" ref="E18">1*OR(row_id=income_header_row, row_id=expenditure_header_row, row_id=savings_header_row)</f>
        <v>0</v>
      </c>
      <c r="F18" s="3">
        <f t="shared" si="1"/>
        <v>1</v>
      </c>
      <c r="G18" s="3" cm="1">
        <f t="array" ref="G18">1*OR(row_id=income_total_row, row_id=expenditure_total_row, row_id=savings_total_row)</f>
        <v>0</v>
      </c>
      <c r="H18" s="43">
        <f t="shared" si="2"/>
        <v>0</v>
      </c>
      <c r="I18" s="42" t="str" cm="1">
        <f t="array" ref="I18">IFERROR(INDEX('Budget Plannning'!$B:$B, header_row_id), " ")</f>
        <v>Income</v>
      </c>
      <c r="J18" s="3" t="str" cm="1">
        <f t="array" ref="J18">IFERROR(INDEX('Budget Plannning'!$B:$B, row_id), " ")</f>
        <v>Business Income</v>
      </c>
      <c r="K18" s="44" cm="1">
        <f t="array" ref="K18">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18" s="45" cm="1">
        <f t="array" ref="L18">IF(OR(is_header, is_empty), "",
  INDEX('Budget Plannning'!$D:$GB, row_id,
    MATCH(IF(selected_period="Total Year", selected_year, DATE(selected_year, selected_period, 1)), 'Budget Plannning'!$D$7:$GB$7, 0)
  )
)</f>
        <v>0</v>
      </c>
      <c r="M18" s="42" cm="1">
        <f t="array" ref="M18">IF(is_category,
  IF(header_row_id=income_header_row, MATCH(income_min_row, $C:$C, 0),
    IF(header_row_id=expenditure_header_row, MATCH(expenditure_min_row, $C:$C, 0),
      IF(header_row_id=savings_header_row, MATCH(savings_min_row, $C:$C, 0), ""))), "")</f>
        <v>13</v>
      </c>
      <c r="N18" s="43" cm="1">
        <f t="array" ref="N18">IF(is_category,
  IF(header_row_id=income_header_row, MATCH(income_max_row, $C:$C, 0),
    IF(header_row_id=expenditure_header_row, MATCH(expenditure_max_row, $C:$C, 0),
      IF(header_row_id=savings_header_row, MATCH(savings_max_row, $C:$C, 0), ""))), "")</f>
        <v>20</v>
      </c>
      <c r="O18" s="42" t="str">
        <f t="shared" si="3"/>
        <v>$K$13:$K$20</v>
      </c>
      <c r="P18" s="3">
        <f t="shared" ca="1" si="4"/>
        <v>5</v>
      </c>
      <c r="Q18" s="3" t="str">
        <f t="shared" si="5"/>
        <v>$L$13:$L$20</v>
      </c>
      <c r="R18" s="43">
        <f t="shared" ca="1" si="6"/>
        <v>5</v>
      </c>
      <c r="S18" s="42">
        <f t="shared" ca="1" si="7"/>
        <v>55</v>
      </c>
      <c r="T18" s="3" t="str">
        <f t="shared" si="8"/>
        <v>$S$13:$S$20</v>
      </c>
      <c r="U18" s="3">
        <f t="shared" ca="1" si="9"/>
        <v>5</v>
      </c>
      <c r="V18" s="3" t="str">
        <f t="shared" si="10"/>
        <v>$U$13:$U$18</v>
      </c>
      <c r="W18" s="43">
        <f t="shared" ca="1" si="11"/>
        <v>6</v>
      </c>
      <c r="X18" s="46">
        <f t="shared" ca="1" si="12"/>
        <v>13</v>
      </c>
      <c r="Y18" s="47" t="str">
        <f t="shared" ca="1" si="13"/>
        <v>Business Income</v>
      </c>
      <c r="Z18" s="48">
        <f t="shared" ca="1" si="14"/>
        <v>0</v>
      </c>
      <c r="AA18" s="48">
        <f t="shared" ca="1" si="15"/>
        <v>0</v>
      </c>
      <c r="AB18" s="49" t="str">
        <f t="shared" ca="1" si="16"/>
        <v>-</v>
      </c>
      <c r="AC18" s="48">
        <f t="shared" ca="1" si="17"/>
        <v>0</v>
      </c>
      <c r="AD18" s="48">
        <f t="shared" ca="1" si="18"/>
        <v>0</v>
      </c>
      <c r="AF18" s="42"/>
      <c r="AI18" s="53" t="str">
        <f ca="1">Calculations!D38</f>
        <v>Google Adscence</v>
      </c>
      <c r="AJ18" s="54">
        <f ca="1">Calculations!E38</f>
        <v>2000</v>
      </c>
      <c r="AK18" s="43"/>
      <c r="AM18" s="42"/>
      <c r="AR18" s="43"/>
    </row>
    <row r="19" spans="3:44" x14ac:dyDescent="0.3">
      <c r="C19" s="42" cm="1">
        <f t="array" ref="C19">IF(C18=-1, -1,
  IF(C18&lt;income_max_row, C18+1,
    IF(C18=income_max_row, income_total_row,
      IF(C18=income_total_row, "/1",
        IF(C18="/1", expenditure_header_row,
          IF(C18&lt;expenditure_max_row, C18+1,
            IF(C18=expenditure_max_row, expenditure_total_row,
              IF(C18=expenditure_total_row, "/2",
                IF(C18="/2", savings_header_row,
                  IF(C18&lt;savings_max_row, C18+1,
                    IF(C18=savings_max_row, savings_total_row, -1)))))))))))</f>
        <v>14</v>
      </c>
      <c r="D19" s="43">
        <f t="shared" si="0"/>
        <v>7</v>
      </c>
      <c r="E19" s="42" cm="1">
        <f t="array" ref="E19">1*OR(row_id=income_header_row, row_id=expenditure_header_row, row_id=savings_header_row)</f>
        <v>0</v>
      </c>
      <c r="F19" s="3">
        <f t="shared" si="1"/>
        <v>1</v>
      </c>
      <c r="G19" s="3" cm="1">
        <f t="array" ref="G19">1*OR(row_id=income_total_row, row_id=expenditure_total_row, row_id=savings_total_row)</f>
        <v>0</v>
      </c>
      <c r="H19" s="43">
        <f t="shared" si="2"/>
        <v>0</v>
      </c>
      <c r="I19" s="42" t="str" cm="1">
        <f t="array" ref="I19">IFERROR(INDEX('Budget Plannning'!$B:$B, header_row_id), " ")</f>
        <v>Income</v>
      </c>
      <c r="J19" s="3" t="str" cm="1">
        <f t="array" ref="J19">IFERROR(INDEX('Budget Plannning'!$B:$B, row_id), " ")</f>
        <v>Investments</v>
      </c>
      <c r="K19" s="44" cm="1">
        <f t="array" ref="K19">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19" s="45" cm="1">
        <f t="array" ref="L19">IF(OR(is_header, is_empty), "",
  INDEX('Budget Plannning'!$D:$GB, row_id,
    MATCH(IF(selected_period="Total Year", selected_year, DATE(selected_year, selected_period, 1)), 'Budget Plannning'!$D$7:$GB$7, 0)
  )
)</f>
        <v>0</v>
      </c>
      <c r="M19" s="42" cm="1">
        <f t="array" ref="M19">IF(is_category,
  IF(header_row_id=income_header_row, MATCH(income_min_row, $C:$C, 0),
    IF(header_row_id=expenditure_header_row, MATCH(expenditure_min_row, $C:$C, 0),
      IF(header_row_id=savings_header_row, MATCH(savings_min_row, $C:$C, 0), ""))), "")</f>
        <v>13</v>
      </c>
      <c r="N19" s="43" cm="1">
        <f t="array" ref="N19">IF(is_category,
  IF(header_row_id=income_header_row, MATCH(income_max_row, $C:$C, 0),
    IF(header_row_id=expenditure_header_row, MATCH(expenditure_max_row, $C:$C, 0),
      IF(header_row_id=savings_header_row, MATCH(savings_max_row, $C:$C, 0), ""))), "")</f>
        <v>20</v>
      </c>
      <c r="O19" s="42" t="str">
        <f t="shared" si="3"/>
        <v>$K$13:$K$20</v>
      </c>
      <c r="P19" s="3">
        <f t="shared" ca="1" si="4"/>
        <v>5</v>
      </c>
      <c r="Q19" s="3" t="str">
        <f t="shared" si="5"/>
        <v>$L$13:$L$20</v>
      </c>
      <c r="R19" s="43">
        <f t="shared" ca="1" si="6"/>
        <v>5</v>
      </c>
      <c r="S19" s="42">
        <f t="shared" ca="1" si="7"/>
        <v>55</v>
      </c>
      <c r="T19" s="3" t="str">
        <f t="shared" si="8"/>
        <v>$S$13:$S$20</v>
      </c>
      <c r="U19" s="3">
        <f t="shared" ca="1" si="9"/>
        <v>5</v>
      </c>
      <c r="V19" s="3" t="str">
        <f t="shared" si="10"/>
        <v>$U$13:$U$19</v>
      </c>
      <c r="W19" s="43">
        <f t="shared" ca="1" si="11"/>
        <v>7</v>
      </c>
      <c r="X19" s="46">
        <f t="shared" ca="1" si="12"/>
        <v>14</v>
      </c>
      <c r="Y19" s="47" t="str">
        <f t="shared" ca="1" si="13"/>
        <v>Investments</v>
      </c>
      <c r="Z19" s="48">
        <f t="shared" ca="1" si="14"/>
        <v>0</v>
      </c>
      <c r="AA19" s="48">
        <f t="shared" ca="1" si="15"/>
        <v>0</v>
      </c>
      <c r="AB19" s="49" t="str">
        <f t="shared" ca="1" si="16"/>
        <v>-</v>
      </c>
      <c r="AC19" s="48">
        <f t="shared" ca="1" si="17"/>
        <v>0</v>
      </c>
      <c r="AD19" s="48">
        <f t="shared" ca="1" si="18"/>
        <v>0</v>
      </c>
      <c r="AF19" s="42"/>
      <c r="AI19" s="53" t="str">
        <f ca="1">Calculations!D39</f>
        <v/>
      </c>
      <c r="AJ19" s="54" t="str">
        <f ca="1">Calculations!E39</f>
        <v/>
      </c>
      <c r="AK19" s="43"/>
      <c r="AM19" s="42"/>
      <c r="AR19" s="43"/>
    </row>
    <row r="20" spans="3:44" x14ac:dyDescent="0.3">
      <c r="C20" s="42" cm="1">
        <f t="array" ref="C20">IF(C19=-1, -1,
  IF(C19&lt;income_max_row, C19+1,
    IF(C19=income_max_row, income_total_row,
      IF(C19=income_total_row, "/1",
        IF(C19="/1", expenditure_header_row,
          IF(C19&lt;expenditure_max_row, C19+1,
            IF(C19=expenditure_max_row, expenditure_total_row,
              IF(C19=expenditure_total_row, "/2",
                IF(C19="/2", savings_header_row,
                  IF(C19&lt;savings_max_row, C19+1,
                    IF(C19=savings_max_row, savings_total_row, -1)))))))))))</f>
        <v>15</v>
      </c>
      <c r="D20" s="43">
        <f t="shared" si="0"/>
        <v>7</v>
      </c>
      <c r="E20" s="42" cm="1">
        <f t="array" ref="E20">1*OR(row_id=income_header_row, row_id=expenditure_header_row, row_id=savings_header_row)</f>
        <v>0</v>
      </c>
      <c r="F20" s="3">
        <f t="shared" si="1"/>
        <v>1</v>
      </c>
      <c r="G20" s="3" cm="1">
        <f t="array" ref="G20">1*OR(row_id=income_total_row, row_id=expenditure_total_row, row_id=savings_total_row)</f>
        <v>0</v>
      </c>
      <c r="H20" s="43">
        <f t="shared" si="2"/>
        <v>0</v>
      </c>
      <c r="I20" s="42" t="str" cm="1">
        <f t="array" ref="I20">IFERROR(INDEX('Budget Plannning'!$B:$B, header_row_id), " ")</f>
        <v>Income</v>
      </c>
      <c r="J20" s="3" t="str" cm="1">
        <f t="array" ref="J20">IFERROR(INDEX('Budget Plannning'!$B:$B, row_id), " ")</f>
        <v>Rental Income</v>
      </c>
      <c r="K20" s="44" cm="1">
        <f t="array" ref="K20">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20" s="45" cm="1">
        <f t="array" ref="L20">IF(OR(is_header, is_empty), "",
  INDEX('Budget Plannning'!$D:$GB, row_id,
    MATCH(IF(selected_period="Total Year", selected_year, DATE(selected_year, selected_period, 1)), 'Budget Plannning'!$D$7:$GB$7, 0)
  )
)</f>
        <v>0</v>
      </c>
      <c r="M20" s="42" cm="1">
        <f t="array" ref="M20">IF(is_category,
  IF(header_row_id=income_header_row, MATCH(income_min_row, $C:$C, 0),
    IF(header_row_id=expenditure_header_row, MATCH(expenditure_min_row, $C:$C, 0),
      IF(header_row_id=savings_header_row, MATCH(savings_min_row, $C:$C, 0), ""))), "")</f>
        <v>13</v>
      </c>
      <c r="N20" s="43" cm="1">
        <f t="array" ref="N20">IF(is_category,
  IF(header_row_id=income_header_row, MATCH(income_max_row, $C:$C, 0),
    IF(header_row_id=expenditure_header_row, MATCH(expenditure_max_row, $C:$C, 0),
      IF(header_row_id=savings_header_row, MATCH(savings_max_row, $C:$C, 0), ""))), "")</f>
        <v>20</v>
      </c>
      <c r="O20" s="42" t="str">
        <f t="shared" si="3"/>
        <v>$K$13:$K$20</v>
      </c>
      <c r="P20" s="3">
        <f t="shared" ca="1" si="4"/>
        <v>5</v>
      </c>
      <c r="Q20" s="3" t="str">
        <f t="shared" si="5"/>
        <v>$L$13:$L$20</v>
      </c>
      <c r="R20" s="43">
        <f t="shared" ca="1" si="6"/>
        <v>5</v>
      </c>
      <c r="S20" s="42">
        <f t="shared" ca="1" si="7"/>
        <v>55</v>
      </c>
      <c r="T20" s="3" t="str">
        <f t="shared" si="8"/>
        <v>$S$13:$S$20</v>
      </c>
      <c r="U20" s="3">
        <f t="shared" ca="1" si="9"/>
        <v>5</v>
      </c>
      <c r="V20" s="3" t="str">
        <f t="shared" si="10"/>
        <v>$U$13:$U$20</v>
      </c>
      <c r="W20" s="43">
        <f t="shared" ca="1" si="11"/>
        <v>8</v>
      </c>
      <c r="X20" s="46">
        <f t="shared" ca="1" si="12"/>
        <v>15</v>
      </c>
      <c r="Y20" s="47" t="str">
        <f t="shared" ca="1" si="13"/>
        <v>Rental Income</v>
      </c>
      <c r="Z20" s="48">
        <f t="shared" ca="1" si="14"/>
        <v>0</v>
      </c>
      <c r="AA20" s="48">
        <f t="shared" ca="1" si="15"/>
        <v>0</v>
      </c>
      <c r="AB20" s="49" t="str">
        <f t="shared" ca="1" si="16"/>
        <v>-</v>
      </c>
      <c r="AC20" s="48">
        <f t="shared" ca="1" si="17"/>
        <v>0</v>
      </c>
      <c r="AD20" s="48">
        <f t="shared" ca="1" si="18"/>
        <v>0</v>
      </c>
      <c r="AF20" s="42"/>
      <c r="AI20" s="53" t="str">
        <f ca="1">Calculations!D40</f>
        <v/>
      </c>
      <c r="AJ20" s="54" t="str">
        <f ca="1">Calculations!E40</f>
        <v/>
      </c>
      <c r="AK20" s="43"/>
      <c r="AM20" s="42"/>
      <c r="AR20" s="43"/>
    </row>
    <row r="21" spans="3:44" x14ac:dyDescent="0.3">
      <c r="C21" s="42" cm="1">
        <f t="array" ref="C21">IF(C20=-1, -1,
  IF(C20&lt;income_max_row, C20+1,
    IF(C20=income_max_row, income_total_row,
      IF(C20=income_total_row, "/1",
        IF(C20="/1", expenditure_header_row,
          IF(C20&lt;expenditure_max_row, C20+1,
            IF(C20=expenditure_max_row, expenditure_total_row,
              IF(C20=expenditure_total_row, "/2",
                IF(C20="/2", savings_header_row,
                  IF(C20&lt;savings_max_row, C20+1,
                    IF(C20=savings_max_row, savings_total_row, -1)))))))))))</f>
        <v>21</v>
      </c>
      <c r="D21" s="43">
        <f t="shared" si="0"/>
        <v>7</v>
      </c>
      <c r="E21" s="42" cm="1">
        <f t="array" ref="E21">1*OR(row_id=income_header_row, row_id=expenditure_header_row, row_id=savings_header_row)</f>
        <v>0</v>
      </c>
      <c r="F21" s="3">
        <f t="shared" si="1"/>
        <v>0</v>
      </c>
      <c r="G21" s="3" cm="1">
        <f t="array" ref="G21">1*OR(row_id=income_total_row, row_id=expenditure_total_row, row_id=savings_total_row)</f>
        <v>1</v>
      </c>
      <c r="H21" s="43">
        <f t="shared" si="2"/>
        <v>0</v>
      </c>
      <c r="I21" s="42" t="str" cm="1">
        <f t="array" ref="I21">IFERROR(INDEX('Budget Plannning'!$B:$B, header_row_id), " ")</f>
        <v>Income</v>
      </c>
      <c r="J21" s="3" t="str" cm="1">
        <f t="array" ref="J21">IFERROR(INDEX('Budget Plannning'!$B:$B, row_id), " ")</f>
        <v>Total</v>
      </c>
      <c r="K21" s="44" cm="1">
        <f t="array" ref="K21">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808000</v>
      </c>
      <c r="L21" s="45" cm="1">
        <f t="array" aca="1" ref="L21" ca="1">IF(OR(is_header, is_empty), "",
  INDEX('Budget Plannning'!$D:$GB, row_id,
    MATCH(IF(selected_period="Total Year", selected_year, DATE(selected_year, selected_period, 1)), 'Budget Plannning'!$D$7:$GB$7, 0)
  )
)</f>
        <v>2040000</v>
      </c>
      <c r="M21" s="42" t="str" cm="1">
        <f t="array" ref="M21">IF(is_category,
  IF(header_row_id=income_header_row, MATCH(income_min_row, $C:$C, 0),
    IF(header_row_id=expenditure_header_row, MATCH(expenditure_min_row, $C:$C, 0),
      IF(header_row_id=savings_header_row, MATCH(savings_min_row, $C:$C, 0), ""))), "")</f>
        <v/>
      </c>
      <c r="N21" s="43" t="str" cm="1">
        <f t="array" ref="N21">IF(is_category,
  IF(header_row_id=income_header_row, MATCH(income_max_row, $C:$C, 0),
    IF(header_row_id=expenditure_header_row, MATCH(expenditure_max_row, $C:$C, 0),
      IF(header_row_id=savings_header_row, MATCH(savings_max_row, $C:$C, 0), ""))), "")</f>
        <v/>
      </c>
      <c r="O21" s="42" t="str">
        <f t="shared" si="3"/>
        <v/>
      </c>
      <c r="P21" s="3" t="str">
        <f t="shared" ca="1" si="4"/>
        <v/>
      </c>
      <c r="Q21" s="3" t="str">
        <f t="shared" si="5"/>
        <v/>
      </c>
      <c r="R21" s="43" t="str">
        <f t="shared" ca="1" si="6"/>
        <v/>
      </c>
      <c r="S21" s="42" t="str">
        <f t="shared" si="7"/>
        <v/>
      </c>
      <c r="T21" s="3" t="str">
        <f t="shared" si="8"/>
        <v/>
      </c>
      <c r="U21" s="3" t="str">
        <f t="shared" ca="1" si="9"/>
        <v/>
      </c>
      <c r="V21" s="3" t="str">
        <f t="shared" si="10"/>
        <v/>
      </c>
      <c r="W21" s="43" t="str">
        <f t="shared" ca="1" si="11"/>
        <v/>
      </c>
      <c r="X21" s="46">
        <f t="shared" si="12"/>
        <v>21</v>
      </c>
      <c r="Y21" s="47" t="str">
        <f t="shared" ca="1" si="13"/>
        <v>Total</v>
      </c>
      <c r="Z21" s="48">
        <f t="shared" ca="1" si="14"/>
        <v>808000</v>
      </c>
      <c r="AA21" s="48">
        <f t="shared" ca="1" si="15"/>
        <v>2040000</v>
      </c>
      <c r="AB21" s="49">
        <f t="shared" ca="1" si="16"/>
        <v>0.396078431372549</v>
      </c>
      <c r="AC21" s="48">
        <f t="shared" ca="1" si="17"/>
        <v>1232000</v>
      </c>
      <c r="AD21" s="48">
        <f t="shared" ca="1" si="18"/>
        <v>0</v>
      </c>
      <c r="AF21" s="42"/>
      <c r="AI21" s="55" t="str">
        <f>Calculations!D41</f>
        <v>Total</v>
      </c>
      <c r="AJ21" s="56">
        <f ca="1">Calculations!E41</f>
        <v>808000</v>
      </c>
      <c r="AK21" s="43"/>
      <c r="AM21" s="42"/>
      <c r="AR21" s="43"/>
    </row>
    <row r="22" spans="3:44" x14ac:dyDescent="0.3">
      <c r="C22" s="42" t="str" cm="1">
        <f t="array" ref="C22">IF(C21=-1, -1,
  IF(C21&lt;income_max_row, C21+1,
    IF(C21=income_max_row, income_total_row,
      IF(C21=income_total_row, "/1",
        IF(C21="/1", expenditure_header_row,
          IF(C21&lt;expenditure_max_row, C21+1,
            IF(C21=expenditure_max_row, expenditure_total_row,
              IF(C21=expenditure_total_row, "/2",
                IF(C21="/2", savings_header_row,
                  IF(C21&lt;savings_max_row, C21+1,
                    IF(C21=savings_max_row, savings_total_row, -1)))))))))))</f>
        <v>/1</v>
      </c>
      <c r="D22" s="43">
        <f t="shared" si="0"/>
        <v>-1</v>
      </c>
      <c r="E22" s="42" cm="1">
        <f t="array" ref="E22">1*OR(row_id=income_header_row, row_id=expenditure_header_row, row_id=savings_header_row)</f>
        <v>0</v>
      </c>
      <c r="F22" s="3">
        <f t="shared" si="1"/>
        <v>0</v>
      </c>
      <c r="G22" s="3" cm="1">
        <f t="array" ref="G22">1*OR(row_id=income_total_row, row_id=expenditure_total_row, row_id=savings_total_row)</f>
        <v>0</v>
      </c>
      <c r="H22" s="43">
        <f t="shared" si="2"/>
        <v>1</v>
      </c>
      <c r="I22" s="42" t="str" cm="1">
        <f t="array" ref="I22">IFERROR(INDEX('Budget Plannning'!$B:$B, header_row_id), " ")</f>
        <v xml:space="preserve"> </v>
      </c>
      <c r="J22" s="3" t="str" cm="1">
        <f t="array" ref="J22">IFERROR(INDEX('Budget Plannning'!$B:$B, row_id), " ")</f>
        <v xml:space="preserve"> </v>
      </c>
      <c r="K22" s="44" t="str" cm="1">
        <f t="array" ref="K22">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22" s="45" t="str" cm="1">
        <f t="array" ref="L22">IF(OR(is_header, is_empty), "",
  INDEX('Budget Plannning'!$D:$GB, row_id,
    MATCH(IF(selected_period="Total Year", selected_year, DATE(selected_year, selected_period, 1)), 'Budget Plannning'!$D$7:$GB$7, 0)
  )
)</f>
        <v/>
      </c>
      <c r="M22" s="42" t="str" cm="1">
        <f t="array" ref="M22">IF(is_category,
  IF(header_row_id=income_header_row, MATCH(income_min_row, $C:$C, 0),
    IF(header_row_id=expenditure_header_row, MATCH(expenditure_min_row, $C:$C, 0),
      IF(header_row_id=savings_header_row, MATCH(savings_min_row, $C:$C, 0), ""))), "")</f>
        <v/>
      </c>
      <c r="N22" s="43" t="str" cm="1">
        <f t="array" ref="N22">IF(is_category,
  IF(header_row_id=income_header_row, MATCH(income_max_row, $C:$C, 0),
    IF(header_row_id=expenditure_header_row, MATCH(expenditure_max_row, $C:$C, 0),
      IF(header_row_id=savings_header_row, MATCH(savings_max_row, $C:$C, 0), ""))), "")</f>
        <v/>
      </c>
      <c r="O22" s="42" t="str">
        <f t="shared" si="3"/>
        <v/>
      </c>
      <c r="P22" s="3" t="str">
        <f t="shared" ca="1" si="4"/>
        <v/>
      </c>
      <c r="Q22" s="3" t="str">
        <f t="shared" si="5"/>
        <v/>
      </c>
      <c r="R22" s="43" t="str">
        <f t="shared" ca="1" si="6"/>
        <v/>
      </c>
      <c r="S22" s="42" t="str">
        <f t="shared" si="7"/>
        <v/>
      </c>
      <c r="T22" s="3" t="str">
        <f t="shared" si="8"/>
        <v/>
      </c>
      <c r="U22" s="3" t="str">
        <f t="shared" ca="1" si="9"/>
        <v/>
      </c>
      <c r="V22" s="3" t="str">
        <f t="shared" si="10"/>
        <v/>
      </c>
      <c r="W22" s="43" t="str">
        <f t="shared" ca="1" si="11"/>
        <v/>
      </c>
      <c r="X22" s="46" t="str">
        <f t="shared" si="12"/>
        <v>/1</v>
      </c>
      <c r="Y22" s="47" t="str">
        <f t="shared" si="13"/>
        <v/>
      </c>
      <c r="Z22" s="48" t="str">
        <f t="shared" si="14"/>
        <v/>
      </c>
      <c r="AA22" s="48" t="str">
        <f t="shared" si="15"/>
        <v/>
      </c>
      <c r="AB22" s="49" t="str">
        <f t="shared" si="16"/>
        <v/>
      </c>
      <c r="AC22" s="48" t="str">
        <f t="shared" si="17"/>
        <v/>
      </c>
      <c r="AD22" s="48" t="str">
        <f t="shared" si="18"/>
        <v/>
      </c>
      <c r="AF22" s="42"/>
      <c r="AK22" s="43"/>
      <c r="AM22" s="42"/>
      <c r="AR22" s="43"/>
    </row>
    <row r="23" spans="3:44" x14ac:dyDescent="0.3">
      <c r="C23" s="42" cm="1">
        <f t="array" ref="C23">IF(C22=-1, -1,
  IF(C22&lt;income_max_row, C22+1,
    IF(C22=income_max_row, income_total_row,
      IF(C22=income_total_row, "/1",
        IF(C22="/1", expenditure_header_row,
          IF(C22&lt;expenditure_max_row, C22+1,
            IF(C22=expenditure_max_row, expenditure_total_row,
              IF(C22=expenditure_total_row, "/2",
                IF(C22="/2", savings_header_row,
                  IF(C22&lt;savings_max_row, C22+1,
                    IF(C22=savings_max_row, savings_total_row, -1)))))))))))</f>
        <v>23</v>
      </c>
      <c r="D23" s="43">
        <f t="shared" si="0"/>
        <v>23</v>
      </c>
      <c r="E23" s="42" cm="1">
        <f t="array" ref="E23">1*OR(row_id=income_header_row, row_id=expenditure_header_row, row_id=savings_header_row)</f>
        <v>1</v>
      </c>
      <c r="F23" s="3">
        <f t="shared" si="1"/>
        <v>0</v>
      </c>
      <c r="G23" s="3" cm="1">
        <f t="array" ref="G23">1*OR(row_id=income_total_row, row_id=expenditure_total_row, row_id=savings_total_row)</f>
        <v>0</v>
      </c>
      <c r="H23" s="43">
        <f t="shared" si="2"/>
        <v>0</v>
      </c>
      <c r="I23" s="42" t="str" cm="1">
        <f t="array" ref="I23">IFERROR(INDEX('Budget Plannning'!$B:$B, header_row_id), " ")</f>
        <v>Expenditure</v>
      </c>
      <c r="J23" s="3" t="str" cm="1">
        <f t="array" ref="J23">IFERROR(INDEX('Budget Plannning'!$B:$B, row_id), " ")</f>
        <v>Expenditure</v>
      </c>
      <c r="K23" s="44" t="str" cm="1">
        <f t="array" ref="K23">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23" s="45" t="str" cm="1">
        <f t="array" ref="L23">IF(OR(is_header, is_empty), "",
  INDEX('Budget Plannning'!$D:$GB, row_id,
    MATCH(IF(selected_period="Total Year", selected_year, DATE(selected_year, selected_period, 1)), 'Budget Plannning'!$D$7:$GB$7, 0)
  )
)</f>
        <v/>
      </c>
      <c r="M23" s="42" t="str" cm="1">
        <f t="array" ref="M23">IF(is_category,
  IF(header_row_id=income_header_row, MATCH(income_min_row, $C:$C, 0),
    IF(header_row_id=expenditure_header_row, MATCH(expenditure_min_row, $C:$C, 0),
      IF(header_row_id=savings_header_row, MATCH(savings_min_row, $C:$C, 0), ""))), "")</f>
        <v/>
      </c>
      <c r="N23" s="43" t="str" cm="1">
        <f t="array" ref="N23">IF(is_category,
  IF(header_row_id=income_header_row, MATCH(income_max_row, $C:$C, 0),
    IF(header_row_id=expenditure_header_row, MATCH(expenditure_max_row, $C:$C, 0),
      IF(header_row_id=savings_header_row, MATCH(savings_max_row, $C:$C, 0), ""))), "")</f>
        <v/>
      </c>
      <c r="O23" s="42" t="str">
        <f t="shared" si="3"/>
        <v/>
      </c>
      <c r="P23" s="3" t="str">
        <f t="shared" ca="1" si="4"/>
        <v/>
      </c>
      <c r="Q23" s="3" t="str">
        <f t="shared" si="5"/>
        <v/>
      </c>
      <c r="R23" s="43" t="str">
        <f t="shared" ca="1" si="6"/>
        <v/>
      </c>
      <c r="S23" s="42" t="str">
        <f t="shared" si="7"/>
        <v/>
      </c>
      <c r="T23" s="3" t="str">
        <f t="shared" si="8"/>
        <v/>
      </c>
      <c r="U23" s="3" t="str">
        <f t="shared" ca="1" si="9"/>
        <v/>
      </c>
      <c r="V23" s="3" t="str">
        <f t="shared" si="10"/>
        <v/>
      </c>
      <c r="W23" s="43" t="str">
        <f t="shared" ca="1" si="11"/>
        <v/>
      </c>
      <c r="X23" s="46">
        <f t="shared" si="12"/>
        <v>23</v>
      </c>
      <c r="Y23" s="47" t="str">
        <f t="shared" ca="1" si="13"/>
        <v>Expenditure</v>
      </c>
      <c r="Z23" s="48" t="str">
        <f t="shared" si="14"/>
        <v>Tracked</v>
      </c>
      <c r="AA23" s="48" t="str">
        <f t="shared" si="15"/>
        <v>Budget</v>
      </c>
      <c r="AB23" s="49" t="str">
        <f t="shared" si="16"/>
        <v>% Compl.</v>
      </c>
      <c r="AC23" s="48" t="str">
        <f t="shared" si="17"/>
        <v>Remaining</v>
      </c>
      <c r="AD23" s="48" t="str">
        <f t="shared" si="18"/>
        <v>Excess</v>
      </c>
      <c r="AF23" s="42"/>
      <c r="AK23" s="43"/>
      <c r="AM23" s="42"/>
      <c r="AR23" s="43"/>
    </row>
    <row r="24" spans="3:44" x14ac:dyDescent="0.3">
      <c r="C24" s="42" cm="1">
        <f t="array" ref="C24">IF(C23=-1, -1,
  IF(C23&lt;income_max_row, C23+1,
    IF(C23=income_max_row, income_total_row,
      IF(C23=income_total_row, "/1",
        IF(C23="/1", expenditure_header_row,
          IF(C23&lt;expenditure_max_row, C23+1,
            IF(C23=expenditure_max_row, expenditure_total_row,
              IF(C23=expenditure_total_row, "/2",
                IF(C23="/2", savings_header_row,
                  IF(C23&lt;savings_max_row, C23+1,
                    IF(C23=savings_max_row, savings_total_row, -1)))))))))))</f>
        <v>24</v>
      </c>
      <c r="D24" s="43">
        <f t="shared" si="0"/>
        <v>23</v>
      </c>
      <c r="E24" s="42" cm="1">
        <f t="array" ref="E24">1*OR(row_id=income_header_row, row_id=expenditure_header_row, row_id=savings_header_row)</f>
        <v>0</v>
      </c>
      <c r="F24" s="3">
        <f t="shared" si="1"/>
        <v>1</v>
      </c>
      <c r="G24" s="3" cm="1">
        <f t="array" ref="G24">1*OR(row_id=income_total_row, row_id=expenditure_total_row, row_id=savings_total_row)</f>
        <v>0</v>
      </c>
      <c r="H24" s="43">
        <f t="shared" si="2"/>
        <v>0</v>
      </c>
      <c r="I24" s="42" t="str" cm="1">
        <f t="array" ref="I24">IFERROR(INDEX('Budget Plannning'!$B:$B, header_row_id), " ")</f>
        <v>Expenditure</v>
      </c>
      <c r="J24" s="3" t="str" cm="1">
        <f t="array" ref="J24">IFERROR(INDEX('Budget Plannning'!$B:$B, row_id), " ")</f>
        <v>Housing</v>
      </c>
      <c r="K24" s="44" cm="1">
        <f t="array" ref="K24">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100000</v>
      </c>
      <c r="L24" s="45" cm="1">
        <f t="array" ref="L24">IF(OR(is_header, is_empty), "",
  INDEX('Budget Plannning'!$D:$GB, row_id,
    MATCH(IF(selected_period="Total Year", selected_year, DATE(selected_year, selected_period, 1)), 'Budget Plannning'!$D$7:$GB$7, 0)
  )
)</f>
        <v>180000</v>
      </c>
      <c r="M24" s="42" cm="1">
        <f t="array" ref="M24">IF(is_category,
  IF(header_row_id=income_header_row, MATCH(income_min_row, $C:$C, 0),
    IF(header_row_id=expenditure_header_row, MATCH(expenditure_min_row, $C:$C, 0),
      IF(header_row_id=savings_header_row, MATCH(savings_min_row, $C:$C, 0), ""))), "")</f>
        <v>24</v>
      </c>
      <c r="N24" s="43" cm="1">
        <f t="array" ref="N24">IF(is_category,
  IF(header_row_id=income_header_row, MATCH(income_max_row, $C:$C, 0),
    IF(header_row_id=expenditure_header_row, MATCH(expenditure_max_row, $C:$C, 0),
      IF(header_row_id=savings_header_row, MATCH(savings_max_row, $C:$C, 0), ""))), "")</f>
        <v>36</v>
      </c>
      <c r="O24" s="42" t="str">
        <f t="shared" si="3"/>
        <v>$K$24:$K$36</v>
      </c>
      <c r="P24" s="3">
        <f t="shared" ca="1" si="4"/>
        <v>2</v>
      </c>
      <c r="Q24" s="3" t="str">
        <f t="shared" si="5"/>
        <v>$L$24:$L$36</v>
      </c>
      <c r="R24" s="43">
        <f t="shared" ca="1" si="6"/>
        <v>3</v>
      </c>
      <c r="S24" s="42">
        <f t="shared" ca="1" si="7"/>
        <v>23</v>
      </c>
      <c r="T24" s="3" t="str">
        <f t="shared" si="8"/>
        <v>$S$24:$S$36</v>
      </c>
      <c r="U24" s="3">
        <f t="shared" ca="1" si="9"/>
        <v>2</v>
      </c>
      <c r="V24" s="3" t="str">
        <f t="shared" si="10"/>
        <v>$U$24:$U$24</v>
      </c>
      <c r="W24" s="43">
        <f t="shared" ca="1" si="11"/>
        <v>2</v>
      </c>
      <c r="X24" s="46">
        <f t="shared" ca="1" si="12"/>
        <v>25</v>
      </c>
      <c r="Y24" s="47" t="str">
        <f t="shared" ca="1" si="13"/>
        <v>Food</v>
      </c>
      <c r="Z24" s="48">
        <f t="shared" ca="1" si="14"/>
        <v>180000</v>
      </c>
      <c r="AA24" s="48">
        <f t="shared" ca="1" si="15"/>
        <v>180000</v>
      </c>
      <c r="AB24" s="49">
        <f t="shared" ca="1" si="16"/>
        <v>1</v>
      </c>
      <c r="AC24" s="48">
        <f t="shared" ca="1" si="17"/>
        <v>0</v>
      </c>
      <c r="AD24" s="48">
        <f t="shared" ca="1" si="18"/>
        <v>0</v>
      </c>
      <c r="AF24" s="57"/>
      <c r="AG24" s="58"/>
      <c r="AH24" s="58"/>
      <c r="AI24" s="58"/>
      <c r="AJ24" s="58"/>
      <c r="AK24" s="59"/>
      <c r="AM24" s="57"/>
      <c r="AN24" s="58"/>
      <c r="AO24" s="58"/>
      <c r="AP24" s="58"/>
      <c r="AQ24" s="58"/>
      <c r="AR24" s="59"/>
    </row>
    <row r="25" spans="3:44" x14ac:dyDescent="0.3">
      <c r="C25" s="42" cm="1">
        <f t="array" ref="C25">IF(C24=-1, -1,
  IF(C24&lt;income_max_row, C24+1,
    IF(C24=income_max_row, income_total_row,
      IF(C24=income_total_row, "/1",
        IF(C24="/1", expenditure_header_row,
          IF(C24&lt;expenditure_max_row, C24+1,
            IF(C24=expenditure_max_row, expenditure_total_row,
              IF(C24=expenditure_total_row, "/2",
                IF(C24="/2", savings_header_row,
                  IF(C24&lt;savings_max_row, C24+1,
                    IF(C24=savings_max_row, savings_total_row, -1)))))))))))</f>
        <v>25</v>
      </c>
      <c r="D25" s="43">
        <f t="shared" si="0"/>
        <v>23</v>
      </c>
      <c r="E25" s="42" cm="1">
        <f t="array" ref="E25">1*OR(row_id=income_header_row, row_id=expenditure_header_row, row_id=savings_header_row)</f>
        <v>0</v>
      </c>
      <c r="F25" s="3">
        <f t="shared" si="1"/>
        <v>1</v>
      </c>
      <c r="G25" s="3" cm="1">
        <f t="array" ref="G25">1*OR(row_id=income_total_row, row_id=expenditure_total_row, row_id=savings_total_row)</f>
        <v>0</v>
      </c>
      <c r="H25" s="43">
        <f t="shared" si="2"/>
        <v>0</v>
      </c>
      <c r="I25" s="42" t="str" cm="1">
        <f t="array" ref="I25">IFERROR(INDEX('Budget Plannning'!$B:$B, header_row_id), " ")</f>
        <v>Expenditure</v>
      </c>
      <c r="J25" s="3" t="str" cm="1">
        <f t="array" ref="J25">IFERROR(INDEX('Budget Plannning'!$B:$B, row_id), " ")</f>
        <v>Food</v>
      </c>
      <c r="K25" s="44" cm="1">
        <f t="array" ref="K25">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180000</v>
      </c>
      <c r="L25" s="45" cm="1">
        <f t="array" ref="L25">IF(OR(is_header, is_empty), "",
  INDEX('Budget Plannning'!$D:$GB, row_id,
    MATCH(IF(selected_period="Total Year", selected_year, DATE(selected_year, selected_period, 1)), 'Budget Plannning'!$D$7:$GB$7, 0)
  )
)</f>
        <v>180000</v>
      </c>
      <c r="M25" s="42" cm="1">
        <f t="array" ref="M25">IF(is_category,
  IF(header_row_id=income_header_row, MATCH(income_min_row, $C:$C, 0),
    IF(header_row_id=expenditure_header_row, MATCH(expenditure_min_row, $C:$C, 0),
      IF(header_row_id=savings_header_row, MATCH(savings_min_row, $C:$C, 0), ""))), "")</f>
        <v>24</v>
      </c>
      <c r="N25" s="43" cm="1">
        <f t="array" ref="N25">IF(is_category,
  IF(header_row_id=income_header_row, MATCH(income_max_row, $C:$C, 0),
    IF(header_row_id=expenditure_header_row, MATCH(expenditure_max_row, $C:$C, 0),
      IF(header_row_id=savings_header_row, MATCH(savings_max_row, $C:$C, 0), ""))), "")</f>
        <v>36</v>
      </c>
      <c r="O25" s="42" t="str">
        <f t="shared" si="3"/>
        <v>$K$24:$K$36</v>
      </c>
      <c r="P25" s="3">
        <f t="shared" ca="1" si="4"/>
        <v>1</v>
      </c>
      <c r="Q25" s="3" t="str">
        <f t="shared" si="5"/>
        <v>$L$24:$L$36</v>
      </c>
      <c r="R25" s="43">
        <f t="shared" ca="1" si="6"/>
        <v>3</v>
      </c>
      <c r="S25" s="42">
        <f t="shared" ca="1" si="7"/>
        <v>13</v>
      </c>
      <c r="T25" s="3" t="str">
        <f t="shared" si="8"/>
        <v>$S$24:$S$36</v>
      </c>
      <c r="U25" s="3">
        <f t="shared" ca="1" si="9"/>
        <v>1</v>
      </c>
      <c r="V25" s="3" t="str">
        <f t="shared" si="10"/>
        <v>$U$24:$U$25</v>
      </c>
      <c r="W25" s="43">
        <f t="shared" ca="1" si="11"/>
        <v>1</v>
      </c>
      <c r="X25" s="46">
        <f t="shared" ca="1" si="12"/>
        <v>24</v>
      </c>
      <c r="Y25" s="47" t="str">
        <f t="shared" ca="1" si="13"/>
        <v>Housing</v>
      </c>
      <c r="Z25" s="48">
        <f t="shared" ca="1" si="14"/>
        <v>100000</v>
      </c>
      <c r="AA25" s="48">
        <f t="shared" ca="1" si="15"/>
        <v>180000</v>
      </c>
      <c r="AB25" s="49">
        <f t="shared" ca="1" si="16"/>
        <v>0.55555555555555558</v>
      </c>
      <c r="AC25" s="48">
        <f t="shared" ca="1" si="17"/>
        <v>80000</v>
      </c>
      <c r="AD25" s="48">
        <f t="shared" ca="1" si="18"/>
        <v>0</v>
      </c>
    </row>
    <row r="26" spans="3:44" x14ac:dyDescent="0.3">
      <c r="C26" s="42" cm="1">
        <f t="array" ref="C26">IF(C25=-1, -1,
  IF(C25&lt;income_max_row, C25+1,
    IF(C25=income_max_row, income_total_row,
      IF(C25=income_total_row, "/1",
        IF(C25="/1", expenditure_header_row,
          IF(C25&lt;expenditure_max_row, C25+1,
            IF(C25=expenditure_max_row, expenditure_total_row,
              IF(C25=expenditure_total_row, "/2",
                IF(C25="/2", savings_header_row,
                  IF(C25&lt;savings_max_row, C25+1,
                    IF(C25=savings_max_row, savings_total_row, -1)))))))))))</f>
        <v>26</v>
      </c>
      <c r="D26" s="43">
        <f t="shared" si="0"/>
        <v>23</v>
      </c>
      <c r="E26" s="42" cm="1">
        <f t="array" ref="E26">1*OR(row_id=income_header_row, row_id=expenditure_header_row, row_id=savings_header_row)</f>
        <v>0</v>
      </c>
      <c r="F26" s="3">
        <f t="shared" si="1"/>
        <v>1</v>
      </c>
      <c r="G26" s="3" cm="1">
        <f t="array" ref="G26">1*OR(row_id=income_total_row, row_id=expenditure_total_row, row_id=savings_total_row)</f>
        <v>0</v>
      </c>
      <c r="H26" s="43">
        <f t="shared" si="2"/>
        <v>0</v>
      </c>
      <c r="I26" s="42" t="str" cm="1">
        <f t="array" ref="I26">IFERROR(INDEX('Budget Plannning'!$B:$B, header_row_id), " ")</f>
        <v>Expenditure</v>
      </c>
      <c r="J26" s="3" t="str" cm="1">
        <f t="array" ref="J26">IFERROR(INDEX('Budget Plannning'!$B:$B, row_id), " ")</f>
        <v>personal care</v>
      </c>
      <c r="K26" s="44" cm="1">
        <f t="array" ref="K26">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26" s="45" cm="1">
        <f t="array" ref="L26">IF(OR(is_header, is_empty), "",
  INDEX('Budget Plannning'!$D:$GB, row_id,
    MATCH(IF(selected_period="Total Year", selected_year, DATE(selected_year, selected_period, 1)), 'Budget Plannning'!$D$7:$GB$7, 0)
  )
)</f>
        <v>180000</v>
      </c>
      <c r="M26" s="42" cm="1">
        <f t="array" ref="M26">IF(is_category,
  IF(header_row_id=income_header_row, MATCH(income_min_row, $C:$C, 0),
    IF(header_row_id=expenditure_header_row, MATCH(expenditure_min_row, $C:$C, 0),
      IF(header_row_id=savings_header_row, MATCH(savings_min_row, $C:$C, 0), ""))), "")</f>
        <v>24</v>
      </c>
      <c r="N26" s="43" cm="1">
        <f t="array" ref="N26">IF(is_category,
  IF(header_row_id=income_header_row, MATCH(income_max_row, $C:$C, 0),
    IF(header_row_id=expenditure_header_row, MATCH(expenditure_max_row, $C:$C, 0),
      IF(header_row_id=savings_header_row, MATCH(savings_max_row, $C:$C, 0), ""))), "")</f>
        <v>36</v>
      </c>
      <c r="O26" s="42" t="str">
        <f t="shared" si="3"/>
        <v>$K$24:$K$36</v>
      </c>
      <c r="P26" s="3">
        <f t="shared" ca="1" si="4"/>
        <v>6</v>
      </c>
      <c r="Q26" s="3" t="str">
        <f t="shared" si="5"/>
        <v>$L$24:$L$36</v>
      </c>
      <c r="R26" s="43">
        <f t="shared" ca="1" si="6"/>
        <v>3</v>
      </c>
      <c r="S26" s="42">
        <f t="shared" ca="1" si="7"/>
        <v>63</v>
      </c>
      <c r="T26" s="3" t="str">
        <f t="shared" si="8"/>
        <v>$S$24:$S$36</v>
      </c>
      <c r="U26" s="3">
        <f t="shared" ca="1" si="9"/>
        <v>6</v>
      </c>
      <c r="V26" s="3" t="str">
        <f t="shared" si="10"/>
        <v>$U$24:$U$26</v>
      </c>
      <c r="W26" s="43">
        <f t="shared" ca="1" si="11"/>
        <v>6</v>
      </c>
      <c r="X26" s="46">
        <f t="shared" ca="1" si="12"/>
        <v>29</v>
      </c>
      <c r="Y26" s="47" t="str">
        <f t="shared" ca="1" si="13"/>
        <v>Transpoartation</v>
      </c>
      <c r="Z26" s="48">
        <f t="shared" ca="1" si="14"/>
        <v>5000</v>
      </c>
      <c r="AA26" s="48">
        <f t="shared" ca="1" si="15"/>
        <v>120000</v>
      </c>
      <c r="AB26" s="49">
        <f t="shared" ca="1" si="16"/>
        <v>4.1666666666666664E-2</v>
      </c>
      <c r="AC26" s="48">
        <f t="shared" ca="1" si="17"/>
        <v>115000</v>
      </c>
      <c r="AD26" s="48">
        <f t="shared" ca="1" si="18"/>
        <v>0</v>
      </c>
      <c r="AF26" s="50"/>
      <c r="AG26" s="51"/>
      <c r="AH26" s="51"/>
      <c r="AI26" s="51"/>
      <c r="AJ26" s="51"/>
      <c r="AK26" s="52"/>
      <c r="AM26" s="50"/>
      <c r="AN26" s="51"/>
      <c r="AO26" s="51"/>
      <c r="AP26" s="51"/>
      <c r="AQ26" s="51"/>
      <c r="AR26" s="52"/>
    </row>
    <row r="27" spans="3:44" x14ac:dyDescent="0.3">
      <c r="C27" s="42" cm="1">
        <f t="array" ref="C27">IF(C26=-1, -1,
  IF(C26&lt;income_max_row, C26+1,
    IF(C26=income_max_row, income_total_row,
      IF(C26=income_total_row, "/1",
        IF(C26="/1", expenditure_header_row,
          IF(C26&lt;expenditure_max_row, C26+1,
            IF(C26=expenditure_max_row, expenditure_total_row,
              IF(C26=expenditure_total_row, "/2",
                IF(C26="/2", savings_header_row,
                  IF(C26&lt;savings_max_row, C26+1,
                    IF(C26=savings_max_row, savings_total_row, -1)))))))))))</f>
        <v>27</v>
      </c>
      <c r="D27" s="43">
        <f t="shared" si="0"/>
        <v>23</v>
      </c>
      <c r="E27" s="42" cm="1">
        <f t="array" ref="E27">1*OR(row_id=income_header_row, row_id=expenditure_header_row, row_id=savings_header_row)</f>
        <v>0</v>
      </c>
      <c r="F27" s="3">
        <f t="shared" si="1"/>
        <v>1</v>
      </c>
      <c r="G27" s="3" cm="1">
        <f t="array" ref="G27">1*OR(row_id=income_total_row, row_id=expenditure_total_row, row_id=savings_total_row)</f>
        <v>0</v>
      </c>
      <c r="H27" s="43">
        <f t="shared" si="2"/>
        <v>0</v>
      </c>
      <c r="I27" s="42" t="str" cm="1">
        <f t="array" ref="I27">IFERROR(INDEX('Budget Plannning'!$B:$B, header_row_id), " ")</f>
        <v>Expenditure</v>
      </c>
      <c r="J27" s="3" t="str" cm="1">
        <f t="array" ref="J27">IFERROR(INDEX('Budget Plannning'!$B:$B, row_id), " ")</f>
        <v>Transpoartation</v>
      </c>
      <c r="K27" s="44" cm="1">
        <f t="array" ref="K27">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5000</v>
      </c>
      <c r="L27" s="45" cm="1">
        <f t="array" ref="L27">IF(OR(is_header, is_empty), "",
  INDEX('Budget Plannning'!$D:$GB, row_id,
    MATCH(IF(selected_period="Total Year", selected_year, DATE(selected_year, selected_period, 1)), 'Budget Plannning'!$D$7:$GB$7, 0)
  )
)</f>
        <v>120000</v>
      </c>
      <c r="M27" s="42" cm="1">
        <f t="array" ref="M27">IF(is_category,
  IF(header_row_id=income_header_row, MATCH(income_min_row, $C:$C, 0),
    IF(header_row_id=expenditure_header_row, MATCH(expenditure_min_row, $C:$C, 0),
      IF(header_row_id=savings_header_row, MATCH(savings_min_row, $C:$C, 0), ""))), "")</f>
        <v>24</v>
      </c>
      <c r="N27" s="43" cm="1">
        <f t="array" ref="N27">IF(is_category,
  IF(header_row_id=income_header_row, MATCH(income_max_row, $C:$C, 0),
    IF(header_row_id=expenditure_header_row, MATCH(expenditure_max_row, $C:$C, 0),
      IF(header_row_id=savings_header_row, MATCH(savings_max_row, $C:$C, 0), ""))), "")</f>
        <v>36</v>
      </c>
      <c r="O27" s="42" t="str">
        <f t="shared" si="3"/>
        <v>$K$24:$K$36</v>
      </c>
      <c r="P27" s="3">
        <f t="shared" ca="1" si="4"/>
        <v>5</v>
      </c>
      <c r="Q27" s="3" t="str">
        <f t="shared" si="5"/>
        <v>$L$24:$L$36</v>
      </c>
      <c r="R27" s="43">
        <f t="shared" ca="1" si="6"/>
        <v>6</v>
      </c>
      <c r="S27" s="42">
        <f t="shared" ca="1" si="7"/>
        <v>56</v>
      </c>
      <c r="T27" s="3" t="str">
        <f t="shared" si="8"/>
        <v>$S$24:$S$36</v>
      </c>
      <c r="U27" s="3">
        <f t="shared" ca="1" si="9"/>
        <v>3</v>
      </c>
      <c r="V27" s="3" t="str">
        <f t="shared" si="10"/>
        <v>$U$24:$U$27</v>
      </c>
      <c r="W27" s="43">
        <f t="shared" ca="1" si="11"/>
        <v>3</v>
      </c>
      <c r="X27" s="46">
        <f t="shared" ca="1" si="12"/>
        <v>26</v>
      </c>
      <c r="Y27" s="47" t="str">
        <f t="shared" ca="1" si="13"/>
        <v>School Fees</v>
      </c>
      <c r="Z27" s="48">
        <f t="shared" ca="1" si="14"/>
        <v>0</v>
      </c>
      <c r="AA27" s="48">
        <f t="shared" ca="1" si="15"/>
        <v>300600</v>
      </c>
      <c r="AB27" s="49">
        <f t="shared" ca="1" si="16"/>
        <v>0</v>
      </c>
      <c r="AC27" s="48">
        <f t="shared" ca="1" si="17"/>
        <v>300600</v>
      </c>
      <c r="AD27" s="48">
        <f t="shared" ca="1" si="18"/>
        <v>0</v>
      </c>
      <c r="AF27" s="42"/>
      <c r="AK27" s="43"/>
      <c r="AM27" s="42"/>
      <c r="AR27" s="43"/>
    </row>
    <row r="28" spans="3:44" x14ac:dyDescent="0.3">
      <c r="C28" s="42" cm="1">
        <f t="array" ref="C28">IF(C27=-1, -1,
  IF(C27&lt;income_max_row, C27+1,
    IF(C27=income_max_row, income_total_row,
      IF(C27=income_total_row, "/1",
        IF(C27="/1", expenditure_header_row,
          IF(C27&lt;expenditure_max_row, C27+1,
            IF(C27=expenditure_max_row, expenditure_total_row,
              IF(C27=expenditure_total_row, "/2",
                IF(C27="/2", savings_header_row,
                  IF(C27&lt;savings_max_row, C27+1,
                    IF(C27=savings_max_row, savings_total_row, -1)))))))))))</f>
        <v>28</v>
      </c>
      <c r="D28" s="43">
        <f t="shared" si="0"/>
        <v>23</v>
      </c>
      <c r="E28" s="42" cm="1">
        <f t="array" ref="E28">1*OR(row_id=income_header_row, row_id=expenditure_header_row, row_id=savings_header_row)</f>
        <v>0</v>
      </c>
      <c r="F28" s="3">
        <f t="shared" si="1"/>
        <v>1</v>
      </c>
      <c r="G28" s="3" cm="1">
        <f t="array" ref="G28">1*OR(row_id=income_total_row, row_id=expenditure_total_row, row_id=savings_total_row)</f>
        <v>0</v>
      </c>
      <c r="H28" s="43">
        <f t="shared" si="2"/>
        <v>0</v>
      </c>
      <c r="I28" s="42" t="str" cm="1">
        <f t="array" ref="I28">IFERROR(INDEX('Budget Plannning'!$B:$B, header_row_id), " ")</f>
        <v>Expenditure</v>
      </c>
      <c r="J28" s="3" t="str" cm="1">
        <f t="array" ref="J28">IFERROR(INDEX('Budget Plannning'!$B:$B, row_id), " ")</f>
        <v>Debt payment</v>
      </c>
      <c r="K28" s="44" cm="1">
        <f t="array" ref="K28">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28" s="45" cm="1">
        <f t="array" ref="L28">IF(OR(is_header, is_empty), "",
  INDEX('Budget Plannning'!$D:$GB, row_id,
    MATCH(IF(selected_period="Total Year", selected_year, DATE(selected_year, selected_period, 1)), 'Budget Plannning'!$D$7:$GB$7, 0)
  )
)</f>
        <v>120000</v>
      </c>
      <c r="M28" s="42" cm="1">
        <f t="array" ref="M28">IF(is_category,
  IF(header_row_id=income_header_row, MATCH(income_min_row, $C:$C, 0),
    IF(header_row_id=expenditure_header_row, MATCH(expenditure_min_row, $C:$C, 0),
      IF(header_row_id=savings_header_row, MATCH(savings_min_row, $C:$C, 0), ""))), "")</f>
        <v>24</v>
      </c>
      <c r="N28" s="43" cm="1">
        <f t="array" ref="N28">IF(is_category,
  IF(header_row_id=income_header_row, MATCH(income_max_row, $C:$C, 0),
    IF(header_row_id=expenditure_header_row, MATCH(expenditure_max_row, $C:$C, 0),
      IF(header_row_id=savings_header_row, MATCH(savings_max_row, $C:$C, 0), ""))), "")</f>
        <v>36</v>
      </c>
      <c r="O28" s="42" t="str">
        <f t="shared" si="3"/>
        <v>$K$24:$K$36</v>
      </c>
      <c r="P28" s="3">
        <f t="shared" ca="1" si="4"/>
        <v>6</v>
      </c>
      <c r="Q28" s="3" t="str">
        <f t="shared" si="5"/>
        <v>$L$24:$L$36</v>
      </c>
      <c r="R28" s="43">
        <f t="shared" ca="1" si="6"/>
        <v>6</v>
      </c>
      <c r="S28" s="42">
        <f t="shared" ca="1" si="7"/>
        <v>66</v>
      </c>
      <c r="T28" s="3" t="str">
        <f t="shared" si="8"/>
        <v>$S$24:$S$36</v>
      </c>
      <c r="U28" s="3">
        <f t="shared" ca="1" si="9"/>
        <v>7</v>
      </c>
      <c r="V28" s="3" t="str">
        <f t="shared" si="10"/>
        <v>$U$24:$U$28</v>
      </c>
      <c r="W28" s="43">
        <f t="shared" ca="1" si="11"/>
        <v>7</v>
      </c>
      <c r="X28" s="46">
        <f t="shared" ca="1" si="12"/>
        <v>30</v>
      </c>
      <c r="Y28" s="47" t="str">
        <f t="shared" ca="1" si="13"/>
        <v>Gifts &amp; Donations</v>
      </c>
      <c r="Z28" s="48">
        <f t="shared" ca="1" si="14"/>
        <v>0</v>
      </c>
      <c r="AA28" s="48">
        <f t="shared" ca="1" si="15"/>
        <v>240000</v>
      </c>
      <c r="AB28" s="49">
        <f t="shared" ca="1" si="16"/>
        <v>0</v>
      </c>
      <c r="AC28" s="48">
        <f t="shared" ca="1" si="17"/>
        <v>240000</v>
      </c>
      <c r="AD28" s="48">
        <f t="shared" ca="1" si="18"/>
        <v>0</v>
      </c>
      <c r="AF28" s="42"/>
      <c r="AK28" s="43"/>
      <c r="AM28" s="42"/>
      <c r="AR28" s="43"/>
    </row>
    <row r="29" spans="3:44" x14ac:dyDescent="0.3">
      <c r="C29" s="42" cm="1">
        <f t="array" ref="C29">IF(C28=-1, -1,
  IF(C28&lt;income_max_row, C28+1,
    IF(C28=income_max_row, income_total_row,
      IF(C28=income_total_row, "/1",
        IF(C28="/1", expenditure_header_row,
          IF(C28&lt;expenditure_max_row, C28+1,
            IF(C28=expenditure_max_row, expenditure_total_row,
              IF(C28=expenditure_total_row, "/2",
                IF(C28="/2", savings_header_row,
                  IF(C28&lt;savings_max_row, C28+1,
                    IF(C28=savings_max_row, savings_total_row, -1)))))))))))</f>
        <v>29</v>
      </c>
      <c r="D29" s="43">
        <f t="shared" si="0"/>
        <v>23</v>
      </c>
      <c r="E29" s="42" cm="1">
        <f t="array" ref="E29">1*OR(row_id=income_header_row, row_id=expenditure_header_row, row_id=savings_header_row)</f>
        <v>0</v>
      </c>
      <c r="F29" s="3">
        <f t="shared" si="1"/>
        <v>1</v>
      </c>
      <c r="G29" s="3" cm="1">
        <f t="array" ref="G29">1*OR(row_id=income_total_row, row_id=expenditure_total_row, row_id=savings_total_row)</f>
        <v>0</v>
      </c>
      <c r="H29" s="43">
        <f t="shared" si="2"/>
        <v>0</v>
      </c>
      <c r="I29" s="42" t="str" cm="1">
        <f t="array" ref="I29">IFERROR(INDEX('Budget Plannning'!$B:$B, header_row_id), " ")</f>
        <v>Expenditure</v>
      </c>
      <c r="J29" s="3" t="str" cm="1">
        <f t="array" ref="J29">IFERROR(INDEX('Budget Plannning'!$B:$B, row_id), " ")</f>
        <v>NHIF</v>
      </c>
      <c r="K29" s="44" cm="1">
        <f t="array" ref="K29">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9000</v>
      </c>
      <c r="L29" s="45" cm="1">
        <f t="array" ref="L29">IF(OR(is_header, is_empty), "",
  INDEX('Budget Plannning'!$D:$GB, row_id,
    MATCH(IF(selected_period="Total Year", selected_year, DATE(selected_year, selected_period, 1)), 'Budget Plannning'!$D$7:$GB$7, 0)
  )
)</f>
        <v>12000</v>
      </c>
      <c r="M29" s="42" cm="1">
        <f t="array" ref="M29">IF(is_category,
  IF(header_row_id=income_header_row, MATCH(income_min_row, $C:$C, 0),
    IF(header_row_id=expenditure_header_row, MATCH(expenditure_min_row, $C:$C, 0),
      IF(header_row_id=savings_header_row, MATCH(savings_min_row, $C:$C, 0), ""))), "")</f>
        <v>24</v>
      </c>
      <c r="N29" s="43" cm="1">
        <f t="array" ref="N29">IF(is_category,
  IF(header_row_id=income_header_row, MATCH(income_max_row, $C:$C, 0),
    IF(header_row_id=expenditure_header_row, MATCH(expenditure_max_row, $C:$C, 0),
      IF(header_row_id=savings_header_row, MATCH(savings_max_row, $C:$C, 0), ""))), "")</f>
        <v>36</v>
      </c>
      <c r="O29" s="42" t="str">
        <f t="shared" si="3"/>
        <v>$K$24:$K$36</v>
      </c>
      <c r="P29" s="3">
        <f t="shared" ca="1" si="4"/>
        <v>3</v>
      </c>
      <c r="Q29" s="3" t="str">
        <f t="shared" si="5"/>
        <v>$L$24:$L$36</v>
      </c>
      <c r="R29" s="43">
        <f t="shared" ca="1" si="6"/>
        <v>12</v>
      </c>
      <c r="S29" s="42">
        <f t="shared" ca="1" si="7"/>
        <v>312</v>
      </c>
      <c r="T29" s="3" t="str">
        <f t="shared" si="8"/>
        <v>$S$24:$S$36</v>
      </c>
      <c r="U29" s="3">
        <f t="shared" ca="1" si="9"/>
        <v>10</v>
      </c>
      <c r="V29" s="3" t="str">
        <f t="shared" si="10"/>
        <v>$U$24:$U$29</v>
      </c>
      <c r="W29" s="43">
        <f t="shared" ca="1" si="11"/>
        <v>10</v>
      </c>
      <c r="X29" s="46">
        <f t="shared" ca="1" si="12"/>
        <v>33</v>
      </c>
      <c r="Y29" s="47" t="str">
        <f t="shared" ca="1" si="13"/>
        <v>personal care</v>
      </c>
      <c r="Z29" s="48">
        <f t="shared" ca="1" si="14"/>
        <v>0</v>
      </c>
      <c r="AA29" s="48">
        <f t="shared" ca="1" si="15"/>
        <v>180000</v>
      </c>
      <c r="AB29" s="49">
        <f t="shared" ca="1" si="16"/>
        <v>0</v>
      </c>
      <c r="AC29" s="48">
        <f t="shared" ca="1" si="17"/>
        <v>180000</v>
      </c>
      <c r="AD29" s="48">
        <f t="shared" ca="1" si="18"/>
        <v>0</v>
      </c>
      <c r="AF29" s="42"/>
      <c r="AH29" s="3" t="s">
        <v>52</v>
      </c>
      <c r="AI29" s="53" t="str">
        <f ca="1">Calculations!H35</f>
        <v>Food</v>
      </c>
      <c r="AJ29" s="54">
        <f ca="1">Calculations!I35</f>
        <v>180000</v>
      </c>
      <c r="AK29" s="43"/>
      <c r="AM29" s="42"/>
      <c r="AO29" s="3" t="s">
        <v>52</v>
      </c>
      <c r="AP29" s="53" t="str">
        <f ca="1">Calculations!L35</f>
        <v>Retirement</v>
      </c>
      <c r="AQ29" s="158">
        <f ca="1">Calculations!M35</f>
        <v>25000</v>
      </c>
      <c r="AR29" s="43"/>
    </row>
    <row r="30" spans="3:44" x14ac:dyDescent="0.3">
      <c r="C30" s="42" cm="1">
        <f t="array" ref="C30">IF(C29=-1, -1,
  IF(C29&lt;income_max_row, C29+1,
    IF(C29=income_max_row, income_total_row,
      IF(C29=income_total_row, "/1",
        IF(C29="/1", expenditure_header_row,
          IF(C29&lt;expenditure_max_row, C29+1,
            IF(C29=expenditure_max_row, expenditure_total_row,
              IF(C29=expenditure_total_row, "/2",
                IF(C29="/2", savings_header_row,
                  IF(C29&lt;savings_max_row, C29+1,
                    IF(C29=savings_max_row, savings_total_row, -1)))))))))))</f>
        <v>30</v>
      </c>
      <c r="D30" s="43">
        <f t="shared" si="0"/>
        <v>23</v>
      </c>
      <c r="E30" s="42" cm="1">
        <f t="array" ref="E30">1*OR(row_id=income_header_row, row_id=expenditure_header_row, row_id=savings_header_row)</f>
        <v>0</v>
      </c>
      <c r="F30" s="3">
        <f t="shared" si="1"/>
        <v>1</v>
      </c>
      <c r="G30" s="3" cm="1">
        <f t="array" ref="G30">1*OR(row_id=income_total_row, row_id=expenditure_total_row, row_id=savings_total_row)</f>
        <v>0</v>
      </c>
      <c r="H30" s="43">
        <f t="shared" si="2"/>
        <v>0</v>
      </c>
      <c r="I30" s="42" t="str" cm="1">
        <f t="array" ref="I30">IFERROR(INDEX('Budget Plannning'!$B:$B, header_row_id), " ")</f>
        <v>Expenditure</v>
      </c>
      <c r="J30" s="3" t="str" cm="1">
        <f t="array" ref="J30">IFERROR(INDEX('Budget Plannning'!$B:$B, row_id), " ")</f>
        <v>School Fees</v>
      </c>
      <c r="K30" s="44" cm="1">
        <f t="array" ref="K30">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0" s="45" cm="1">
        <f t="array" ref="L30">IF(OR(is_header, is_empty), "",
  INDEX('Budget Plannning'!$D:$GB, row_id,
    MATCH(IF(selected_period="Total Year", selected_year, DATE(selected_year, selected_period, 1)), 'Budget Plannning'!$D$7:$GB$7, 0)
  )
)</f>
        <v>300600</v>
      </c>
      <c r="M30" s="42" cm="1">
        <f t="array" ref="M30">IF(is_category,
  IF(header_row_id=income_header_row, MATCH(income_min_row, $C:$C, 0),
    IF(header_row_id=expenditure_header_row, MATCH(expenditure_min_row, $C:$C, 0),
      IF(header_row_id=savings_header_row, MATCH(savings_min_row, $C:$C, 0), ""))), "")</f>
        <v>24</v>
      </c>
      <c r="N30" s="43" cm="1">
        <f t="array" ref="N30">IF(is_category,
  IF(header_row_id=income_header_row, MATCH(income_max_row, $C:$C, 0),
    IF(header_row_id=expenditure_header_row, MATCH(expenditure_max_row, $C:$C, 0),
      IF(header_row_id=savings_header_row, MATCH(savings_max_row, $C:$C, 0), ""))), "")</f>
        <v>36</v>
      </c>
      <c r="O30" s="42" t="str">
        <f t="shared" si="3"/>
        <v>$K$24:$K$36</v>
      </c>
      <c r="P30" s="3">
        <f t="shared" ca="1" si="4"/>
        <v>6</v>
      </c>
      <c r="Q30" s="3" t="str">
        <f t="shared" si="5"/>
        <v>$L$24:$L$36</v>
      </c>
      <c r="R30" s="43">
        <f t="shared" ca="1" si="6"/>
        <v>1</v>
      </c>
      <c r="S30" s="42">
        <f t="shared" ca="1" si="7"/>
        <v>61</v>
      </c>
      <c r="T30" s="3" t="str">
        <f t="shared" si="8"/>
        <v>$S$24:$S$36</v>
      </c>
      <c r="U30" s="3">
        <f t="shared" ca="1" si="9"/>
        <v>4</v>
      </c>
      <c r="V30" s="3" t="str">
        <f t="shared" si="10"/>
        <v>$U$24:$U$30</v>
      </c>
      <c r="W30" s="43">
        <f t="shared" ca="1" si="11"/>
        <v>4</v>
      </c>
      <c r="X30" s="46">
        <f t="shared" ca="1" si="12"/>
        <v>27</v>
      </c>
      <c r="Y30" s="47" t="str">
        <f t="shared" ca="1" si="13"/>
        <v>Debt payment</v>
      </c>
      <c r="Z30" s="48">
        <f t="shared" ca="1" si="14"/>
        <v>0</v>
      </c>
      <c r="AA30" s="48">
        <f t="shared" ca="1" si="15"/>
        <v>120000</v>
      </c>
      <c r="AB30" s="49">
        <f t="shared" ca="1" si="16"/>
        <v>0</v>
      </c>
      <c r="AC30" s="48">
        <f t="shared" ca="1" si="17"/>
        <v>120000</v>
      </c>
      <c r="AD30" s="48">
        <f t="shared" ca="1" si="18"/>
        <v>0</v>
      </c>
      <c r="AF30" s="42"/>
      <c r="AI30" s="53" t="str">
        <f ca="1">Calculations!H36</f>
        <v>Housing</v>
      </c>
      <c r="AJ30" s="54">
        <f ca="1">Calculations!I36</f>
        <v>100000</v>
      </c>
      <c r="AK30" s="43"/>
      <c r="AM30" s="42"/>
      <c r="AP30" s="53" t="str">
        <f ca="1">Calculations!L36</f>
        <v>Investment Savings</v>
      </c>
      <c r="AQ30" s="158">
        <f ca="1">Calculations!M36</f>
        <v>20000</v>
      </c>
      <c r="AR30" s="43"/>
    </row>
    <row r="31" spans="3:44" x14ac:dyDescent="0.3">
      <c r="C31" s="42" cm="1">
        <f t="array" ref="C31">IF(C30=-1, -1,
  IF(C30&lt;income_max_row, C30+1,
    IF(C30=income_max_row, income_total_row,
      IF(C30=income_total_row, "/1",
        IF(C30="/1", expenditure_header_row,
          IF(C30&lt;expenditure_max_row, C30+1,
            IF(C30=expenditure_max_row, expenditure_total_row,
              IF(C30=expenditure_total_row, "/2",
                IF(C30="/2", savings_header_row,
                  IF(C30&lt;savings_max_row, C30+1,
                    IF(C30=savings_max_row, savings_total_row, -1)))))))))))</f>
        <v>31</v>
      </c>
      <c r="D31" s="43">
        <f t="shared" si="0"/>
        <v>23</v>
      </c>
      <c r="E31" s="42" cm="1">
        <f t="array" ref="E31">1*OR(row_id=income_header_row, row_id=expenditure_header_row, row_id=savings_header_row)</f>
        <v>0</v>
      </c>
      <c r="F31" s="3">
        <f t="shared" si="1"/>
        <v>1</v>
      </c>
      <c r="G31" s="3" cm="1">
        <f t="array" ref="G31">1*OR(row_id=income_total_row, row_id=expenditure_total_row, row_id=savings_total_row)</f>
        <v>0</v>
      </c>
      <c r="H31" s="43">
        <f t="shared" si="2"/>
        <v>0</v>
      </c>
      <c r="I31" s="42" t="str" cm="1">
        <f t="array" ref="I31">IFERROR(INDEX('Budget Plannning'!$B:$B, header_row_id), " ")</f>
        <v>Expenditure</v>
      </c>
      <c r="J31" s="3" t="str" cm="1">
        <f t="array" ref="J31">IFERROR(INDEX('Budget Plannning'!$B:$B, row_id), " ")</f>
        <v>Utilities</v>
      </c>
      <c r="K31" s="44" cm="1">
        <f t="array" ref="K31">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1" s="45" cm="1">
        <f t="array" ref="L31">IF(OR(is_header, is_empty), "",
  INDEX('Budget Plannning'!$D:$GB, row_id,
    MATCH(IF(selected_period="Total Year", selected_year, DATE(selected_year, selected_period, 1)), 'Budget Plannning'!$D$7:$GB$7, 0)
  )
)</f>
        <v>108000</v>
      </c>
      <c r="M31" s="42" cm="1">
        <f t="array" ref="M31">IF(is_category,
  IF(header_row_id=income_header_row, MATCH(income_min_row, $C:$C, 0),
    IF(header_row_id=expenditure_header_row, MATCH(expenditure_min_row, $C:$C, 0),
      IF(header_row_id=savings_header_row, MATCH(savings_min_row, $C:$C, 0), ""))), "")</f>
        <v>24</v>
      </c>
      <c r="N31" s="43" cm="1">
        <f t="array" ref="N31">IF(is_category,
  IF(header_row_id=income_header_row, MATCH(income_max_row, $C:$C, 0),
    IF(header_row_id=expenditure_header_row, MATCH(expenditure_max_row, $C:$C, 0),
      IF(header_row_id=savings_header_row, MATCH(savings_max_row, $C:$C, 0), ""))), "")</f>
        <v>36</v>
      </c>
      <c r="O31" s="42" t="str">
        <f t="shared" si="3"/>
        <v>$K$24:$K$36</v>
      </c>
      <c r="P31" s="3">
        <f t="shared" ca="1" si="4"/>
        <v>6</v>
      </c>
      <c r="Q31" s="3" t="str">
        <f t="shared" si="5"/>
        <v>$L$24:$L$36</v>
      </c>
      <c r="R31" s="43">
        <f t="shared" ca="1" si="6"/>
        <v>8</v>
      </c>
      <c r="S31" s="42">
        <f t="shared" ca="1" si="7"/>
        <v>68</v>
      </c>
      <c r="T31" s="3" t="str">
        <f t="shared" si="8"/>
        <v>$S$24:$S$36</v>
      </c>
      <c r="U31" s="3">
        <f t="shared" ca="1" si="9"/>
        <v>8</v>
      </c>
      <c r="V31" s="3" t="str">
        <f t="shared" si="10"/>
        <v>$U$24:$U$31</v>
      </c>
      <c r="W31" s="43">
        <f t="shared" ca="1" si="11"/>
        <v>8</v>
      </c>
      <c r="X31" s="46">
        <f t="shared" ca="1" si="12"/>
        <v>31</v>
      </c>
      <c r="Y31" s="47" t="str">
        <f t="shared" ca="1" si="13"/>
        <v>Utilities</v>
      </c>
      <c r="Z31" s="48">
        <f t="shared" ca="1" si="14"/>
        <v>0</v>
      </c>
      <c r="AA31" s="48">
        <f t="shared" ca="1" si="15"/>
        <v>108000</v>
      </c>
      <c r="AB31" s="49">
        <f t="shared" ca="1" si="16"/>
        <v>0</v>
      </c>
      <c r="AC31" s="48">
        <f t="shared" ca="1" si="17"/>
        <v>108000</v>
      </c>
      <c r="AD31" s="48">
        <f t="shared" ca="1" si="18"/>
        <v>0</v>
      </c>
      <c r="AF31" s="42"/>
      <c r="AI31" s="53" t="str">
        <f ca="1">Calculations!H37</f>
        <v>Transpoartation</v>
      </c>
      <c r="AJ31" s="54">
        <f ca="1">Calculations!I37</f>
        <v>5000</v>
      </c>
      <c r="AK31" s="43"/>
      <c r="AM31" s="42"/>
      <c r="AP31" s="53" t="str">
        <f ca="1">Calculations!L37</f>
        <v/>
      </c>
      <c r="AQ31" s="158" t="str">
        <f ca="1">Calculations!M37</f>
        <v/>
      </c>
      <c r="AR31" s="43"/>
    </row>
    <row r="32" spans="3:44" x14ac:dyDescent="0.3">
      <c r="C32" s="42" cm="1">
        <f t="array" ref="C32">IF(C31=-1, -1,
  IF(C31&lt;income_max_row, C31+1,
    IF(C31=income_max_row, income_total_row,
      IF(C31=income_total_row, "/1",
        IF(C31="/1", expenditure_header_row,
          IF(C31&lt;expenditure_max_row, C31+1,
            IF(C31=expenditure_max_row, expenditure_total_row,
              IF(C31=expenditure_total_row, "/2",
                IF(C31="/2", savings_header_row,
                  IF(C31&lt;savings_max_row, C31+1,
                    IF(C31=savings_max_row, savings_total_row, -1)))))))))))</f>
        <v>32</v>
      </c>
      <c r="D32" s="43">
        <f t="shared" si="0"/>
        <v>23</v>
      </c>
      <c r="E32" s="42" cm="1">
        <f t="array" ref="E32">1*OR(row_id=income_header_row, row_id=expenditure_header_row, row_id=savings_header_row)</f>
        <v>0</v>
      </c>
      <c r="F32" s="3">
        <f t="shared" si="1"/>
        <v>1</v>
      </c>
      <c r="G32" s="3" cm="1">
        <f t="array" ref="G32">1*OR(row_id=income_total_row, row_id=expenditure_total_row, row_id=savings_total_row)</f>
        <v>0</v>
      </c>
      <c r="H32" s="43">
        <f t="shared" si="2"/>
        <v>0</v>
      </c>
      <c r="I32" s="42" t="str" cm="1">
        <f t="array" ref="I32">IFERROR(INDEX('Budget Plannning'!$B:$B, header_row_id), " ")</f>
        <v>Expenditure</v>
      </c>
      <c r="J32" s="3" t="str" cm="1">
        <f t="array" ref="J32">IFERROR(INDEX('Budget Plannning'!$B:$B, row_id), " ")</f>
        <v>Clothes</v>
      </c>
      <c r="K32" s="44" cm="1">
        <f t="array" ref="K32">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2" s="45" cm="1">
        <f t="array" ref="L32">IF(OR(is_header, is_empty), "",
  INDEX('Budget Plannning'!$D:$GB, row_id,
    MATCH(IF(selected_period="Total Year", selected_year, DATE(selected_year, selected_period, 1)), 'Budget Plannning'!$D$7:$GB$7, 0)
  )
)</f>
        <v>60000</v>
      </c>
      <c r="M32" s="42" cm="1">
        <f t="array" ref="M32">IF(is_category,
  IF(header_row_id=income_header_row, MATCH(income_min_row, $C:$C, 0),
    IF(header_row_id=expenditure_header_row, MATCH(expenditure_min_row, $C:$C, 0),
      IF(header_row_id=savings_header_row, MATCH(savings_min_row, $C:$C, 0), ""))), "")</f>
        <v>24</v>
      </c>
      <c r="N32" s="43" cm="1">
        <f t="array" ref="N32">IF(is_category,
  IF(header_row_id=income_header_row, MATCH(income_max_row, $C:$C, 0),
    IF(header_row_id=expenditure_header_row, MATCH(expenditure_max_row, $C:$C, 0),
      IF(header_row_id=savings_header_row, MATCH(savings_max_row, $C:$C, 0), ""))), "")</f>
        <v>36</v>
      </c>
      <c r="O32" s="42" t="str">
        <f t="shared" si="3"/>
        <v>$K$24:$K$36</v>
      </c>
      <c r="P32" s="3">
        <f t="shared" ca="1" si="4"/>
        <v>6</v>
      </c>
      <c r="Q32" s="3" t="str">
        <f t="shared" si="5"/>
        <v>$L$24:$L$36</v>
      </c>
      <c r="R32" s="43">
        <f t="shared" ca="1" si="6"/>
        <v>10</v>
      </c>
      <c r="S32" s="42">
        <f t="shared" ca="1" si="7"/>
        <v>610</v>
      </c>
      <c r="T32" s="3" t="str">
        <f t="shared" si="8"/>
        <v>$S$24:$S$36</v>
      </c>
      <c r="U32" s="3">
        <f t="shared" ca="1" si="9"/>
        <v>12</v>
      </c>
      <c r="V32" s="3" t="str">
        <f t="shared" si="10"/>
        <v>$U$24:$U$32</v>
      </c>
      <c r="W32" s="43">
        <f t="shared" ca="1" si="11"/>
        <v>12</v>
      </c>
      <c r="X32" s="46">
        <f t="shared" ca="1" si="12"/>
        <v>35</v>
      </c>
      <c r="Y32" s="47" t="str">
        <f t="shared" ca="1" si="13"/>
        <v>Gifts &amp; Donations</v>
      </c>
      <c r="Z32" s="48">
        <f t="shared" ca="1" si="14"/>
        <v>0</v>
      </c>
      <c r="AA32" s="48">
        <f t="shared" ca="1" si="15"/>
        <v>90000</v>
      </c>
      <c r="AB32" s="49">
        <f t="shared" ca="1" si="16"/>
        <v>0</v>
      </c>
      <c r="AC32" s="48">
        <f t="shared" ca="1" si="17"/>
        <v>90000</v>
      </c>
      <c r="AD32" s="48">
        <f t="shared" ca="1" si="18"/>
        <v>0</v>
      </c>
      <c r="AF32" s="42"/>
      <c r="AI32" s="53" t="str">
        <f ca="1">Calculations!H38</f>
        <v/>
      </c>
      <c r="AJ32" s="54" t="str">
        <f ca="1">Calculations!I38</f>
        <v/>
      </c>
      <c r="AK32" s="43"/>
      <c r="AM32" s="42"/>
      <c r="AP32" s="53" t="str">
        <f ca="1">Calculations!L38</f>
        <v/>
      </c>
      <c r="AQ32" s="158" t="str">
        <f ca="1">Calculations!M38</f>
        <v/>
      </c>
      <c r="AR32" s="43"/>
    </row>
    <row r="33" spans="3:44" x14ac:dyDescent="0.3">
      <c r="C33" s="42" cm="1">
        <f t="array" ref="C33">IF(C32=-1, -1,
  IF(C32&lt;income_max_row, C32+1,
    IF(C32=income_max_row, income_total_row,
      IF(C32=income_total_row, "/1",
        IF(C32="/1", expenditure_header_row,
          IF(C32&lt;expenditure_max_row, C32+1,
            IF(C32=expenditure_max_row, expenditure_total_row,
              IF(C32=expenditure_total_row, "/2",
                IF(C32="/2", savings_header_row,
                  IF(C32&lt;savings_max_row, C32+1,
                    IF(C32=savings_max_row, savings_total_row, -1)))))))))))</f>
        <v>33</v>
      </c>
      <c r="D33" s="43">
        <f t="shared" si="0"/>
        <v>23</v>
      </c>
      <c r="E33" s="42" cm="1">
        <f t="array" ref="E33">1*OR(row_id=income_header_row, row_id=expenditure_header_row, row_id=savings_header_row)</f>
        <v>0</v>
      </c>
      <c r="F33" s="3">
        <f t="shared" si="1"/>
        <v>1</v>
      </c>
      <c r="G33" s="3" cm="1">
        <f t="array" ref="G33">1*OR(row_id=income_total_row, row_id=expenditure_total_row, row_id=savings_total_row)</f>
        <v>0</v>
      </c>
      <c r="H33" s="43">
        <f t="shared" si="2"/>
        <v>0</v>
      </c>
      <c r="I33" s="42" t="str" cm="1">
        <f t="array" ref="I33">IFERROR(INDEX('Budget Plannning'!$B:$B, header_row_id), " ")</f>
        <v>Expenditure</v>
      </c>
      <c r="J33" s="3" t="str" cm="1">
        <f t="array" ref="J33">IFERROR(INDEX('Budget Plannning'!$B:$B, row_id), " ")</f>
        <v>Gifts &amp; Donations</v>
      </c>
      <c r="K33" s="44" cm="1">
        <f t="array" ref="K33">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3" s="45" cm="1">
        <f t="array" ref="L33">IF(OR(is_header, is_empty), "",
  INDEX('Budget Plannning'!$D:$GB, row_id,
    MATCH(IF(selected_period="Total Year", selected_year, DATE(selected_year, selected_period, 1)), 'Budget Plannning'!$D$7:$GB$7, 0)
  )
)</f>
        <v>90000</v>
      </c>
      <c r="M33" s="42" cm="1">
        <f t="array" ref="M33">IF(is_category,
  IF(header_row_id=income_header_row, MATCH(income_min_row, $C:$C, 0),
    IF(header_row_id=expenditure_header_row, MATCH(expenditure_min_row, $C:$C, 0),
      IF(header_row_id=savings_header_row, MATCH(savings_min_row, $C:$C, 0), ""))), "")</f>
        <v>24</v>
      </c>
      <c r="N33" s="43" cm="1">
        <f t="array" ref="N33">IF(is_category,
  IF(header_row_id=income_header_row, MATCH(income_max_row, $C:$C, 0),
    IF(header_row_id=expenditure_header_row, MATCH(expenditure_max_row, $C:$C, 0),
      IF(header_row_id=savings_header_row, MATCH(savings_max_row, $C:$C, 0), ""))), "")</f>
        <v>36</v>
      </c>
      <c r="O33" s="42" t="str">
        <f t="shared" si="3"/>
        <v>$K$24:$K$36</v>
      </c>
      <c r="P33" s="3">
        <f t="shared" ca="1" si="4"/>
        <v>6</v>
      </c>
      <c r="Q33" s="3" t="str">
        <f t="shared" si="5"/>
        <v>$L$24:$L$36</v>
      </c>
      <c r="R33" s="43">
        <f t="shared" ca="1" si="6"/>
        <v>9</v>
      </c>
      <c r="S33" s="42">
        <f t="shared" ca="1" si="7"/>
        <v>69</v>
      </c>
      <c r="T33" s="3" t="str">
        <f t="shared" si="8"/>
        <v>$S$24:$S$36</v>
      </c>
      <c r="U33" s="3">
        <f t="shared" ca="1" si="9"/>
        <v>9</v>
      </c>
      <c r="V33" s="3" t="str">
        <f t="shared" si="10"/>
        <v>$U$24:$U$33</v>
      </c>
      <c r="W33" s="43">
        <f t="shared" ca="1" si="11"/>
        <v>9</v>
      </c>
      <c r="X33" s="46">
        <f t="shared" ca="1" si="12"/>
        <v>32</v>
      </c>
      <c r="Y33" s="47" t="str">
        <f t="shared" ca="1" si="13"/>
        <v>NHIF</v>
      </c>
      <c r="Z33" s="48">
        <f t="shared" ca="1" si="14"/>
        <v>9000</v>
      </c>
      <c r="AA33" s="48">
        <f t="shared" ca="1" si="15"/>
        <v>12000</v>
      </c>
      <c r="AB33" s="49">
        <f t="shared" ca="1" si="16"/>
        <v>0.75</v>
      </c>
      <c r="AC33" s="48">
        <f t="shared" ca="1" si="17"/>
        <v>3000</v>
      </c>
      <c r="AD33" s="48">
        <f t="shared" ca="1" si="18"/>
        <v>0</v>
      </c>
      <c r="AF33" s="42"/>
      <c r="AI33" s="53" t="str">
        <f ca="1">Calculations!H39</f>
        <v/>
      </c>
      <c r="AJ33" s="54" t="str">
        <f ca="1">Calculations!I39</f>
        <v/>
      </c>
      <c r="AK33" s="43"/>
      <c r="AM33" s="42"/>
      <c r="AP33" s="53" t="str">
        <f ca="1">Calculations!L39</f>
        <v/>
      </c>
      <c r="AQ33" s="158" t="str">
        <f ca="1">Calculations!M39</f>
        <v/>
      </c>
      <c r="AR33" s="43"/>
    </row>
    <row r="34" spans="3:44" x14ac:dyDescent="0.3">
      <c r="C34" s="42" cm="1">
        <f t="array" ref="C34">IF(C33=-1, -1,
  IF(C33&lt;income_max_row, C33+1,
    IF(C33=income_max_row, income_total_row,
      IF(C33=income_total_row, "/1",
        IF(C33="/1", expenditure_header_row,
          IF(C33&lt;expenditure_max_row, C33+1,
            IF(C33=expenditure_max_row, expenditure_total_row,
              IF(C33=expenditure_total_row, "/2",
                IF(C33="/2", savings_header_row,
                  IF(C33&lt;savings_max_row, C33+1,
                    IF(C33=savings_max_row, savings_total_row, -1)))))))))))</f>
        <v>34</v>
      </c>
      <c r="D34" s="43">
        <f t="shared" si="0"/>
        <v>23</v>
      </c>
      <c r="E34" s="42" cm="1">
        <f t="array" ref="E34">1*OR(row_id=income_header_row, row_id=expenditure_header_row, row_id=savings_header_row)</f>
        <v>0</v>
      </c>
      <c r="F34" s="3">
        <f t="shared" si="1"/>
        <v>1</v>
      </c>
      <c r="G34" s="3" cm="1">
        <f t="array" ref="G34">1*OR(row_id=income_total_row, row_id=expenditure_total_row, row_id=savings_total_row)</f>
        <v>0</v>
      </c>
      <c r="H34" s="43">
        <f t="shared" si="2"/>
        <v>0</v>
      </c>
      <c r="I34" s="42" t="str" cm="1">
        <f t="array" ref="I34">IFERROR(INDEX('Budget Plannning'!$B:$B, header_row_id), " ")</f>
        <v>Expenditure</v>
      </c>
      <c r="J34" s="3" t="str" cm="1">
        <f t="array" ref="J34">IFERROR(INDEX('Budget Plannning'!$B:$B, row_id), " ")</f>
        <v>Airtime</v>
      </c>
      <c r="K34" s="44" cm="1">
        <f t="array" ref="K34">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8000</v>
      </c>
      <c r="L34" s="45" cm="1">
        <f t="array" ref="L34">IF(OR(is_header, is_empty), "",
  INDEX('Budget Plannning'!$D:$GB, row_id,
    MATCH(IF(selected_period="Total Year", selected_year, DATE(selected_year, selected_period, 1)), 'Budget Plannning'!$D$7:$GB$7, 0)
  )
)</f>
        <v>24000</v>
      </c>
      <c r="M34" s="42" cm="1">
        <f t="array" ref="M34">IF(is_category,
  IF(header_row_id=income_header_row, MATCH(income_min_row, $C:$C, 0),
    IF(header_row_id=expenditure_header_row, MATCH(expenditure_min_row, $C:$C, 0),
      IF(header_row_id=savings_header_row, MATCH(savings_min_row, $C:$C, 0), ""))), "")</f>
        <v>24</v>
      </c>
      <c r="N34" s="43" cm="1">
        <f t="array" ref="N34">IF(is_category,
  IF(header_row_id=income_header_row, MATCH(income_max_row, $C:$C, 0),
    IF(header_row_id=expenditure_header_row, MATCH(expenditure_max_row, $C:$C, 0),
      IF(header_row_id=savings_header_row, MATCH(savings_max_row, $C:$C, 0), ""))), "")</f>
        <v>36</v>
      </c>
      <c r="O34" s="42" t="str">
        <f t="shared" si="3"/>
        <v>$K$24:$K$36</v>
      </c>
      <c r="P34" s="3">
        <f t="shared" ca="1" si="4"/>
        <v>4</v>
      </c>
      <c r="Q34" s="3" t="str">
        <f t="shared" si="5"/>
        <v>$L$24:$L$36</v>
      </c>
      <c r="R34" s="43">
        <f t="shared" ca="1" si="6"/>
        <v>11</v>
      </c>
      <c r="S34" s="42">
        <f t="shared" ca="1" si="7"/>
        <v>411</v>
      </c>
      <c r="T34" s="3" t="str">
        <f t="shared" si="8"/>
        <v>$S$24:$S$36</v>
      </c>
      <c r="U34" s="3">
        <f t="shared" ca="1" si="9"/>
        <v>11</v>
      </c>
      <c r="V34" s="3" t="str">
        <f t="shared" si="10"/>
        <v>$U$24:$U$34</v>
      </c>
      <c r="W34" s="43">
        <f t="shared" ca="1" si="11"/>
        <v>11</v>
      </c>
      <c r="X34" s="46">
        <f t="shared" ca="1" si="12"/>
        <v>34</v>
      </c>
      <c r="Y34" s="47" t="str">
        <f t="shared" ca="1" si="13"/>
        <v>Airtime</v>
      </c>
      <c r="Z34" s="48">
        <f t="shared" ca="1" si="14"/>
        <v>8000</v>
      </c>
      <c r="AA34" s="48">
        <f t="shared" ca="1" si="15"/>
        <v>24000</v>
      </c>
      <c r="AB34" s="49">
        <f t="shared" ca="1" si="16"/>
        <v>0.33333333333333331</v>
      </c>
      <c r="AC34" s="48">
        <f t="shared" ca="1" si="17"/>
        <v>16000</v>
      </c>
      <c r="AD34" s="48">
        <f t="shared" ca="1" si="18"/>
        <v>0</v>
      </c>
      <c r="AF34" s="42"/>
      <c r="AI34" s="53" t="str">
        <f ca="1">Calculations!H40</f>
        <v>Other</v>
      </c>
      <c r="AJ34" s="54">
        <f ca="1">Calculations!I40</f>
        <v>17000</v>
      </c>
      <c r="AK34" s="43"/>
      <c r="AM34" s="42"/>
      <c r="AP34" s="53" t="str">
        <f ca="1">Calculations!L40</f>
        <v/>
      </c>
      <c r="AQ34" s="158" t="str">
        <f ca="1">Calculations!M40</f>
        <v/>
      </c>
      <c r="AR34" s="43"/>
    </row>
    <row r="35" spans="3:44" x14ac:dyDescent="0.3">
      <c r="C35" s="42" cm="1">
        <f t="array" ref="C35">IF(C34=-1, -1,
  IF(C34&lt;income_max_row, C34+1,
    IF(C34=income_max_row, income_total_row,
      IF(C34=income_total_row, "/1",
        IF(C34="/1", expenditure_header_row,
          IF(C34&lt;expenditure_max_row, C34+1,
            IF(C34=expenditure_max_row, expenditure_total_row,
              IF(C34=expenditure_total_row, "/2",
                IF(C34="/2", savings_header_row,
                  IF(C34&lt;savings_max_row, C34+1,
                    IF(C34=savings_max_row, savings_total_row, -1)))))))))))</f>
        <v>35</v>
      </c>
      <c r="D35" s="43">
        <f t="shared" si="0"/>
        <v>23</v>
      </c>
      <c r="E35" s="42" cm="1">
        <f t="array" ref="E35">1*OR(row_id=income_header_row, row_id=expenditure_header_row, row_id=savings_header_row)</f>
        <v>0</v>
      </c>
      <c r="F35" s="3">
        <f t="shared" si="1"/>
        <v>1</v>
      </c>
      <c r="G35" s="3" cm="1">
        <f t="array" ref="G35">1*OR(row_id=income_total_row, row_id=expenditure_total_row, row_id=savings_total_row)</f>
        <v>0</v>
      </c>
      <c r="H35" s="43">
        <f t="shared" si="2"/>
        <v>0</v>
      </c>
      <c r="I35" s="42" t="str" cm="1">
        <f t="array" ref="I35">IFERROR(INDEX('Budget Plannning'!$B:$B, header_row_id), " ")</f>
        <v>Expenditure</v>
      </c>
      <c r="J35" s="3" t="str" cm="1">
        <f t="array" ref="J35">IFERROR(INDEX('Budget Plannning'!$B:$B, row_id), " ")</f>
        <v>Gifts &amp; Donations</v>
      </c>
      <c r="K35" s="44" cm="1">
        <f t="array" ref="K35">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5" s="45" cm="1">
        <f t="array" ref="L35">IF(OR(is_header, is_empty), "",
  INDEX('Budget Plannning'!$D:$GB, row_id,
    MATCH(IF(selected_period="Total Year", selected_year, DATE(selected_year, selected_period, 1)), 'Budget Plannning'!$D$7:$GB$7, 0)
  )
)</f>
        <v>240000</v>
      </c>
      <c r="M35" s="42" cm="1">
        <f t="array" ref="M35">IF(is_category,
  IF(header_row_id=income_header_row, MATCH(income_min_row, $C:$C, 0),
    IF(header_row_id=expenditure_header_row, MATCH(expenditure_min_row, $C:$C, 0),
      IF(header_row_id=savings_header_row, MATCH(savings_min_row, $C:$C, 0), ""))), "")</f>
        <v>24</v>
      </c>
      <c r="N35" s="43" cm="1">
        <f t="array" ref="N35">IF(is_category,
  IF(header_row_id=income_header_row, MATCH(income_max_row, $C:$C, 0),
    IF(header_row_id=expenditure_header_row, MATCH(expenditure_max_row, $C:$C, 0),
      IF(header_row_id=savings_header_row, MATCH(savings_max_row, $C:$C, 0), ""))), "")</f>
        <v>36</v>
      </c>
      <c r="O35" s="42" t="str">
        <f t="shared" si="3"/>
        <v>$K$24:$K$36</v>
      </c>
      <c r="P35" s="3">
        <f t="shared" ca="1" si="4"/>
        <v>6</v>
      </c>
      <c r="Q35" s="3" t="str">
        <f t="shared" si="5"/>
        <v>$L$24:$L$36</v>
      </c>
      <c r="R35" s="43">
        <f t="shared" ca="1" si="6"/>
        <v>2</v>
      </c>
      <c r="S35" s="42">
        <f t="shared" ca="1" si="7"/>
        <v>62</v>
      </c>
      <c r="T35" s="3" t="str">
        <f t="shared" si="8"/>
        <v>$S$24:$S$36</v>
      </c>
      <c r="U35" s="3">
        <f t="shared" ca="1" si="9"/>
        <v>5</v>
      </c>
      <c r="V35" s="3" t="str">
        <f t="shared" si="10"/>
        <v>$U$24:$U$35</v>
      </c>
      <c r="W35" s="43">
        <f t="shared" ca="1" si="11"/>
        <v>5</v>
      </c>
      <c r="X35" s="46">
        <f t="shared" ca="1" si="12"/>
        <v>28</v>
      </c>
      <c r="Y35" s="47" t="str">
        <f t="shared" ca="1" si="13"/>
        <v>Clothes</v>
      </c>
      <c r="Z35" s="48">
        <f t="shared" ca="1" si="14"/>
        <v>0</v>
      </c>
      <c r="AA35" s="48">
        <f t="shared" ca="1" si="15"/>
        <v>60000</v>
      </c>
      <c r="AB35" s="49">
        <f t="shared" ca="1" si="16"/>
        <v>0</v>
      </c>
      <c r="AC35" s="48">
        <f t="shared" ca="1" si="17"/>
        <v>60000</v>
      </c>
      <c r="AD35" s="48">
        <f t="shared" ca="1" si="18"/>
        <v>0</v>
      </c>
      <c r="AF35" s="42"/>
      <c r="AI35" s="55" t="str">
        <f>Calculations!H41</f>
        <v>Total</v>
      </c>
      <c r="AJ35" s="56">
        <f ca="1">Calculations!I41</f>
        <v>302000</v>
      </c>
      <c r="AK35" s="43"/>
      <c r="AM35" s="42"/>
      <c r="AP35" s="55" t="str">
        <f>Calculations!L41</f>
        <v>Total</v>
      </c>
      <c r="AQ35" s="56">
        <f ca="1">Calculations!M41</f>
        <v>45000</v>
      </c>
      <c r="AR35" s="43"/>
    </row>
    <row r="36" spans="3:44" x14ac:dyDescent="0.3">
      <c r="C36" s="42" cm="1">
        <f t="array" ref="C36">IF(C35=-1, -1,
  IF(C35&lt;income_max_row, C35+1,
    IF(C35=income_max_row, income_total_row,
      IF(C35=income_total_row, "/1",
        IF(C35="/1", expenditure_header_row,
          IF(C35&lt;expenditure_max_row, C35+1,
            IF(C35=expenditure_max_row, expenditure_total_row,
              IF(C35=expenditure_total_row, "/2",
                IF(C35="/2", savings_header_row,
                  IF(C35&lt;savings_max_row, C35+1,
                    IF(C35=savings_max_row, savings_total_row, -1)))))))))))</f>
        <v>36</v>
      </c>
      <c r="D36" s="43">
        <f t="shared" si="0"/>
        <v>23</v>
      </c>
      <c r="E36" s="42" cm="1">
        <f t="array" ref="E36">1*OR(row_id=income_header_row, row_id=expenditure_header_row, row_id=savings_header_row)</f>
        <v>0</v>
      </c>
      <c r="F36" s="3">
        <f t="shared" si="1"/>
        <v>1</v>
      </c>
      <c r="G36" s="3" cm="1">
        <f t="array" ref="G36">1*OR(row_id=income_total_row, row_id=expenditure_total_row, row_id=savings_total_row)</f>
        <v>0</v>
      </c>
      <c r="H36" s="43">
        <f t="shared" si="2"/>
        <v>0</v>
      </c>
      <c r="I36" s="42" t="str" cm="1">
        <f t="array" ref="I36">IFERROR(INDEX('Budget Plannning'!$B:$B, header_row_id), " ")</f>
        <v>Expenditure</v>
      </c>
      <c r="J36" s="3" t="str" cm="1">
        <f t="array" ref="J36">IFERROR(INDEX('Budget Plannning'!$B:$B, row_id), " ")</f>
        <v>Tithe</v>
      </c>
      <c r="K36" s="44" cm="1">
        <f t="array" ref="K36">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36" s="45" cm="1">
        <f t="array" ref="L36">IF(OR(is_header, is_empty), "",
  INDEX('Budget Plannning'!$D:$GB, row_id,
    MATCH(IF(selected_period="Total Year", selected_year, DATE(selected_year, selected_period, 1)), 'Budget Plannning'!$D$7:$GB$7, 0)
  )
)</f>
        <v>0</v>
      </c>
      <c r="M36" s="42" cm="1">
        <f t="array" ref="M36">IF(is_category,
  IF(header_row_id=income_header_row, MATCH(income_min_row, $C:$C, 0),
    IF(header_row_id=expenditure_header_row, MATCH(expenditure_min_row, $C:$C, 0),
      IF(header_row_id=savings_header_row, MATCH(savings_min_row, $C:$C, 0), ""))), "")</f>
        <v>24</v>
      </c>
      <c r="N36" s="43" cm="1">
        <f t="array" ref="N36">IF(is_category,
  IF(header_row_id=income_header_row, MATCH(income_max_row, $C:$C, 0),
    IF(header_row_id=expenditure_header_row, MATCH(expenditure_max_row, $C:$C, 0),
      IF(header_row_id=savings_header_row, MATCH(savings_max_row, $C:$C, 0), ""))), "")</f>
        <v>36</v>
      </c>
      <c r="O36" s="42" t="str">
        <f t="shared" si="3"/>
        <v>$K$24:$K$36</v>
      </c>
      <c r="P36" s="3">
        <f t="shared" ca="1" si="4"/>
        <v>6</v>
      </c>
      <c r="Q36" s="3" t="str">
        <f t="shared" si="5"/>
        <v>$L$24:$L$36</v>
      </c>
      <c r="R36" s="43">
        <f t="shared" ca="1" si="6"/>
        <v>13</v>
      </c>
      <c r="S36" s="42">
        <f t="shared" ca="1" si="7"/>
        <v>613</v>
      </c>
      <c r="T36" s="3" t="str">
        <f t="shared" si="8"/>
        <v>$S$24:$S$36</v>
      </c>
      <c r="U36" s="3">
        <f t="shared" ca="1" si="9"/>
        <v>13</v>
      </c>
      <c r="V36" s="3" t="str">
        <f t="shared" si="10"/>
        <v>$U$24:$U$36</v>
      </c>
      <c r="W36" s="43">
        <f t="shared" ca="1" si="11"/>
        <v>13</v>
      </c>
      <c r="X36" s="46">
        <f t="shared" ca="1" si="12"/>
        <v>36</v>
      </c>
      <c r="Y36" s="47" t="str">
        <f t="shared" ca="1" si="13"/>
        <v>Tithe</v>
      </c>
      <c r="Z36" s="48">
        <f t="shared" ca="1" si="14"/>
        <v>0</v>
      </c>
      <c r="AA36" s="48">
        <f t="shared" ca="1" si="15"/>
        <v>0</v>
      </c>
      <c r="AB36" s="49" t="str">
        <f t="shared" ca="1" si="16"/>
        <v>-</v>
      </c>
      <c r="AC36" s="48">
        <f t="shared" ca="1" si="17"/>
        <v>0</v>
      </c>
      <c r="AD36" s="48">
        <f t="shared" ca="1" si="18"/>
        <v>0</v>
      </c>
      <c r="AF36" s="42"/>
      <c r="AK36" s="43"/>
      <c r="AM36" s="42"/>
      <c r="AR36" s="43"/>
    </row>
    <row r="37" spans="3:44" x14ac:dyDescent="0.3">
      <c r="C37" s="42" cm="1">
        <f t="array" ref="C37">IF(C36=-1, -1,
  IF(C36&lt;income_max_row, C36+1,
    IF(C36=income_max_row, income_total_row,
      IF(C36=income_total_row, "/1",
        IF(C36="/1", expenditure_header_row,
          IF(C36&lt;expenditure_max_row, C36+1,
            IF(C36=expenditure_max_row, expenditure_total_row,
              IF(C36=expenditure_total_row, "/2",
                IF(C36="/2", savings_header_row,
                  IF(C36&lt;savings_max_row, C36+1,
                    IF(C36=savings_max_row, savings_total_row, -1)))))))))))</f>
        <v>41</v>
      </c>
      <c r="D37" s="43">
        <f t="shared" si="0"/>
        <v>23</v>
      </c>
      <c r="E37" s="42" cm="1">
        <f t="array" ref="E37">1*OR(row_id=income_header_row, row_id=expenditure_header_row, row_id=savings_header_row)</f>
        <v>0</v>
      </c>
      <c r="F37" s="3">
        <f t="shared" si="1"/>
        <v>0</v>
      </c>
      <c r="G37" s="3" cm="1">
        <f t="array" ref="G37">1*OR(row_id=income_total_row, row_id=expenditure_total_row, row_id=savings_total_row)</f>
        <v>1</v>
      </c>
      <c r="H37" s="43">
        <f t="shared" si="2"/>
        <v>0</v>
      </c>
      <c r="I37" s="42" t="str" cm="1">
        <f t="array" ref="I37">IFERROR(INDEX('Budget Plannning'!$B:$B, header_row_id), " ")</f>
        <v>Expenditure</v>
      </c>
      <c r="J37" s="3" t="str" cm="1">
        <f t="array" ref="J37">IFERROR(INDEX('Budget Plannning'!$B:$B, row_id), " ")</f>
        <v>Total</v>
      </c>
      <c r="K37" s="44" cm="1">
        <f t="array" ref="K37">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302000</v>
      </c>
      <c r="L37" s="45" cm="1">
        <f t="array" aca="1" ref="L37" ca="1">IF(OR(is_header, is_empty), "",
  INDEX('Budget Plannning'!$D:$GB, row_id,
    MATCH(IF(selected_period="Total Year", selected_year, DATE(selected_year, selected_period, 1)), 'Budget Plannning'!$D$7:$GB$7, 0)
  )
)</f>
        <v>1614600</v>
      </c>
      <c r="M37" s="42" t="str" cm="1">
        <f t="array" ref="M37">IF(is_category,
  IF(header_row_id=income_header_row, MATCH(income_min_row, $C:$C, 0),
    IF(header_row_id=expenditure_header_row, MATCH(expenditure_min_row, $C:$C, 0),
      IF(header_row_id=savings_header_row, MATCH(savings_min_row, $C:$C, 0), ""))), "")</f>
        <v/>
      </c>
      <c r="N37" s="43" t="str" cm="1">
        <f t="array" ref="N37">IF(is_category,
  IF(header_row_id=income_header_row, MATCH(income_max_row, $C:$C, 0),
    IF(header_row_id=expenditure_header_row, MATCH(expenditure_max_row, $C:$C, 0),
      IF(header_row_id=savings_header_row, MATCH(savings_max_row, $C:$C, 0), ""))), "")</f>
        <v/>
      </c>
      <c r="O37" s="42" t="str">
        <f t="shared" si="3"/>
        <v/>
      </c>
      <c r="P37" s="3" t="str">
        <f t="shared" ca="1" si="4"/>
        <v/>
      </c>
      <c r="Q37" s="3" t="str">
        <f t="shared" si="5"/>
        <v/>
      </c>
      <c r="R37" s="43" t="str">
        <f t="shared" ca="1" si="6"/>
        <v/>
      </c>
      <c r="S37" s="42" t="str">
        <f t="shared" si="7"/>
        <v/>
      </c>
      <c r="T37" s="3" t="str">
        <f t="shared" si="8"/>
        <v/>
      </c>
      <c r="U37" s="3" t="str">
        <f t="shared" ca="1" si="9"/>
        <v/>
      </c>
      <c r="V37" s="3" t="str">
        <f t="shared" si="10"/>
        <v/>
      </c>
      <c r="W37" s="43" t="str">
        <f t="shared" ca="1" si="11"/>
        <v/>
      </c>
      <c r="X37" s="46">
        <f t="shared" si="12"/>
        <v>41</v>
      </c>
      <c r="Y37" s="47" t="str">
        <f t="shared" ca="1" si="13"/>
        <v>Total</v>
      </c>
      <c r="Z37" s="48">
        <f t="shared" ca="1" si="14"/>
        <v>302000</v>
      </c>
      <c r="AA37" s="48">
        <f t="shared" ca="1" si="15"/>
        <v>1614600</v>
      </c>
      <c r="AB37" s="49">
        <f t="shared" ca="1" si="16"/>
        <v>0.18704323052149138</v>
      </c>
      <c r="AC37" s="48">
        <f t="shared" ca="1" si="17"/>
        <v>1312600</v>
      </c>
      <c r="AD37" s="48">
        <f t="shared" ca="1" si="18"/>
        <v>0</v>
      </c>
      <c r="AF37" s="42"/>
      <c r="AK37" s="43"/>
      <c r="AM37" s="42"/>
      <c r="AR37" s="43"/>
    </row>
    <row r="38" spans="3:44" x14ac:dyDescent="0.3">
      <c r="C38" s="42" t="str" cm="1">
        <f t="array" ref="C38">IF(C37=-1, -1,
  IF(C37&lt;income_max_row, C37+1,
    IF(C37=income_max_row, income_total_row,
      IF(C37=income_total_row, "/1",
        IF(C37="/1", expenditure_header_row,
          IF(C37&lt;expenditure_max_row, C37+1,
            IF(C37=expenditure_max_row, expenditure_total_row,
              IF(C37=expenditure_total_row, "/2",
                IF(C37="/2", savings_header_row,
                  IF(C37&lt;savings_max_row, C37+1,
                    IF(C37=savings_max_row, savings_total_row, -1)))))))))))</f>
        <v>/2</v>
      </c>
      <c r="D38" s="43">
        <f t="shared" si="0"/>
        <v>-1</v>
      </c>
      <c r="E38" s="42" cm="1">
        <f t="array" ref="E38">1*OR(row_id=income_header_row, row_id=expenditure_header_row, row_id=savings_header_row)</f>
        <v>0</v>
      </c>
      <c r="F38" s="3">
        <f t="shared" si="1"/>
        <v>0</v>
      </c>
      <c r="G38" s="3" cm="1">
        <f t="array" ref="G38">1*OR(row_id=income_total_row, row_id=expenditure_total_row, row_id=savings_total_row)</f>
        <v>0</v>
      </c>
      <c r="H38" s="43">
        <f t="shared" si="2"/>
        <v>1</v>
      </c>
      <c r="I38" s="42" t="str" cm="1">
        <f t="array" ref="I38">IFERROR(INDEX('Budget Plannning'!$B:$B, header_row_id), " ")</f>
        <v xml:space="preserve"> </v>
      </c>
      <c r="J38" s="3" t="str" cm="1">
        <f t="array" ref="J38">IFERROR(INDEX('Budget Plannning'!$B:$B, row_id), " ")</f>
        <v xml:space="preserve"> </v>
      </c>
      <c r="K38" s="44" t="str" cm="1">
        <f t="array" ref="K38">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38" s="45" t="str" cm="1">
        <f t="array" ref="L38">IF(OR(is_header, is_empty), "",
  INDEX('Budget Plannning'!$D:$GB, row_id,
    MATCH(IF(selected_period="Total Year", selected_year, DATE(selected_year, selected_period, 1)), 'Budget Plannning'!$D$7:$GB$7, 0)
  )
)</f>
        <v/>
      </c>
      <c r="M38" s="42" t="str" cm="1">
        <f t="array" ref="M38">IF(is_category,
  IF(header_row_id=income_header_row, MATCH(income_min_row, $C:$C, 0),
    IF(header_row_id=expenditure_header_row, MATCH(expenditure_min_row, $C:$C, 0),
      IF(header_row_id=savings_header_row, MATCH(savings_min_row, $C:$C, 0), ""))), "")</f>
        <v/>
      </c>
      <c r="N38" s="43" t="str" cm="1">
        <f t="array" ref="N38">IF(is_category,
  IF(header_row_id=income_header_row, MATCH(income_max_row, $C:$C, 0),
    IF(header_row_id=expenditure_header_row, MATCH(expenditure_max_row, $C:$C, 0),
      IF(header_row_id=savings_header_row, MATCH(savings_max_row, $C:$C, 0), ""))), "")</f>
        <v/>
      </c>
      <c r="O38" s="42" t="str">
        <f t="shared" si="3"/>
        <v/>
      </c>
      <c r="P38" s="3" t="str">
        <f t="shared" ca="1" si="4"/>
        <v/>
      </c>
      <c r="Q38" s="3" t="str">
        <f t="shared" si="5"/>
        <v/>
      </c>
      <c r="R38" s="43" t="str">
        <f t="shared" ca="1" si="6"/>
        <v/>
      </c>
      <c r="S38" s="42" t="str">
        <f t="shared" si="7"/>
        <v/>
      </c>
      <c r="T38" s="3" t="str">
        <f t="shared" si="8"/>
        <v/>
      </c>
      <c r="U38" s="3" t="str">
        <f t="shared" ca="1" si="9"/>
        <v/>
      </c>
      <c r="V38" s="3" t="str">
        <f t="shared" si="10"/>
        <v/>
      </c>
      <c r="W38" s="43" t="str">
        <f t="shared" ca="1" si="11"/>
        <v/>
      </c>
      <c r="X38" s="46" t="str">
        <f t="shared" si="12"/>
        <v>/2</v>
      </c>
      <c r="Y38" s="47" t="str">
        <f t="shared" si="13"/>
        <v/>
      </c>
      <c r="Z38" s="48" t="str">
        <f t="shared" si="14"/>
        <v/>
      </c>
      <c r="AA38" s="48" t="str">
        <f t="shared" si="15"/>
        <v/>
      </c>
      <c r="AB38" s="49" t="str">
        <f t="shared" si="16"/>
        <v/>
      </c>
      <c r="AC38" s="48" t="str">
        <f t="shared" si="17"/>
        <v/>
      </c>
      <c r="AD38" s="48" t="str">
        <f t="shared" si="18"/>
        <v/>
      </c>
      <c r="AF38" s="57"/>
      <c r="AG38" s="58"/>
      <c r="AH38" s="58"/>
      <c r="AI38" s="58"/>
      <c r="AJ38" s="58"/>
      <c r="AK38" s="59"/>
      <c r="AM38" s="57"/>
      <c r="AN38" s="58"/>
      <c r="AO38" s="58"/>
      <c r="AP38" s="58"/>
      <c r="AQ38" s="58"/>
      <c r="AR38" s="59"/>
    </row>
    <row r="39" spans="3:44" x14ac:dyDescent="0.3">
      <c r="C39" s="42" cm="1">
        <f t="array" ref="C39">IF(C38=-1, -1,
  IF(C38&lt;income_max_row, C38+1,
    IF(C38=income_max_row, income_total_row,
      IF(C38=income_total_row, "/1",
        IF(C38="/1", expenditure_header_row,
          IF(C38&lt;expenditure_max_row, C38+1,
            IF(C38=expenditure_max_row, expenditure_total_row,
              IF(C38=expenditure_total_row, "/2",
                IF(C38="/2", savings_header_row,
                  IF(C38&lt;savings_max_row, C38+1,
                    IF(C38=savings_max_row, savings_total_row, -1)))))))))))</f>
        <v>43</v>
      </c>
      <c r="D39" s="43">
        <f t="shared" si="0"/>
        <v>43</v>
      </c>
      <c r="E39" s="42" cm="1">
        <f t="array" ref="E39">1*OR(row_id=income_header_row, row_id=expenditure_header_row, row_id=savings_header_row)</f>
        <v>1</v>
      </c>
      <c r="F39" s="3">
        <f t="shared" si="1"/>
        <v>0</v>
      </c>
      <c r="G39" s="3" cm="1">
        <f t="array" ref="G39">1*OR(row_id=income_total_row, row_id=expenditure_total_row, row_id=savings_total_row)</f>
        <v>0</v>
      </c>
      <c r="H39" s="43">
        <f t="shared" si="2"/>
        <v>0</v>
      </c>
      <c r="I39" s="42" t="str" cm="1">
        <f t="array" ref="I39">IFERROR(INDEX('Budget Plannning'!$B:$B, header_row_id), " ")</f>
        <v>Savings</v>
      </c>
      <c r="J39" s="3" t="str" cm="1">
        <f t="array" ref="J39">IFERROR(INDEX('Budget Plannning'!$B:$B, row_id), " ")</f>
        <v>Savings</v>
      </c>
      <c r="K39" s="44" t="str" cm="1">
        <f t="array" ref="K39">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39" s="45" t="str" cm="1">
        <f t="array" ref="L39">IF(OR(is_header, is_empty), "",
  INDEX('Budget Plannning'!$D:$GB, row_id,
    MATCH(IF(selected_period="Total Year", selected_year, DATE(selected_year, selected_period, 1)), 'Budget Plannning'!$D$7:$GB$7, 0)
  )
)</f>
        <v/>
      </c>
      <c r="M39" s="42" t="str" cm="1">
        <f t="array" ref="M39">IF(is_category,
  IF(header_row_id=income_header_row, MATCH(income_min_row, $C:$C, 0),
    IF(header_row_id=expenditure_header_row, MATCH(expenditure_min_row, $C:$C, 0),
      IF(header_row_id=savings_header_row, MATCH(savings_min_row, $C:$C, 0), ""))), "")</f>
        <v/>
      </c>
      <c r="N39" s="43" t="str" cm="1">
        <f t="array" ref="N39">IF(is_category,
  IF(header_row_id=income_header_row, MATCH(income_max_row, $C:$C, 0),
    IF(header_row_id=expenditure_header_row, MATCH(expenditure_max_row, $C:$C, 0),
      IF(header_row_id=savings_header_row, MATCH(savings_max_row, $C:$C, 0), ""))), "")</f>
        <v/>
      </c>
      <c r="O39" s="42" t="str">
        <f t="shared" si="3"/>
        <v/>
      </c>
      <c r="P39" s="3" t="str">
        <f t="shared" ca="1" si="4"/>
        <v/>
      </c>
      <c r="Q39" s="3" t="str">
        <f t="shared" si="5"/>
        <v/>
      </c>
      <c r="R39" s="43" t="str">
        <f t="shared" ca="1" si="6"/>
        <v/>
      </c>
      <c r="S39" s="42" t="str">
        <f t="shared" si="7"/>
        <v/>
      </c>
      <c r="T39" s="3" t="str">
        <f t="shared" si="8"/>
        <v/>
      </c>
      <c r="U39" s="3" t="str">
        <f t="shared" ca="1" si="9"/>
        <v/>
      </c>
      <c r="V39" s="3" t="str">
        <f t="shared" si="10"/>
        <v/>
      </c>
      <c r="W39" s="43" t="str">
        <f t="shared" ca="1" si="11"/>
        <v/>
      </c>
      <c r="X39" s="46">
        <f t="shared" si="12"/>
        <v>43</v>
      </c>
      <c r="Y39" s="47" t="str">
        <f t="shared" ca="1" si="13"/>
        <v>Savings</v>
      </c>
      <c r="Z39" s="48" t="str">
        <f t="shared" si="14"/>
        <v>Tracked</v>
      </c>
      <c r="AA39" s="48" t="str">
        <f t="shared" si="15"/>
        <v>Budget</v>
      </c>
      <c r="AB39" s="49" t="str">
        <f t="shared" si="16"/>
        <v>% Compl.</v>
      </c>
      <c r="AC39" s="48" t="str">
        <f t="shared" si="17"/>
        <v>Remaining</v>
      </c>
      <c r="AD39" s="48" t="str">
        <f t="shared" si="18"/>
        <v>Excess</v>
      </c>
    </row>
    <row r="40" spans="3:44" x14ac:dyDescent="0.3">
      <c r="C40" s="42" cm="1">
        <f t="array" ref="C40">IF(C39=-1, -1,
  IF(C39&lt;income_max_row, C39+1,
    IF(C39=income_max_row, income_total_row,
      IF(C39=income_total_row, "/1",
        IF(C39="/1", expenditure_header_row,
          IF(C39&lt;expenditure_max_row, C39+1,
            IF(C39=expenditure_max_row, expenditure_total_row,
              IF(C39=expenditure_total_row, "/2",
                IF(C39="/2", savings_header_row,
                  IF(C39&lt;savings_max_row, C39+1,
                    IF(C39=savings_max_row, savings_total_row, -1)))))))))))</f>
        <v>44</v>
      </c>
      <c r="D40" s="43">
        <f t="shared" si="0"/>
        <v>43</v>
      </c>
      <c r="E40" s="42" cm="1">
        <f t="array" ref="E40">1*OR(row_id=income_header_row, row_id=expenditure_header_row, row_id=savings_header_row)</f>
        <v>0</v>
      </c>
      <c r="F40" s="3">
        <f t="shared" si="1"/>
        <v>1</v>
      </c>
      <c r="G40" s="3" cm="1">
        <f t="array" ref="G40">1*OR(row_id=income_total_row, row_id=expenditure_total_row, row_id=savings_total_row)</f>
        <v>0</v>
      </c>
      <c r="H40" s="43">
        <f t="shared" si="2"/>
        <v>0</v>
      </c>
      <c r="I40" s="42" t="str" cm="1">
        <f t="array" ref="I40">IFERROR(INDEX('Budget Plannning'!$B:$B, header_row_id), " ")</f>
        <v>Savings</v>
      </c>
      <c r="J40" s="3" t="str" cm="1">
        <f t="array" ref="J40">IFERROR(INDEX('Budget Plannning'!$B:$B, row_id), " ")</f>
        <v>Emergency Fund</v>
      </c>
      <c r="K40" s="44" cm="1">
        <f t="array" ref="K40">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0" s="45" cm="1">
        <f t="array" ref="L40">IF(OR(is_header, is_empty), "",
  INDEX('Budget Plannning'!$D:$GB, row_id,
    MATCH(IF(selected_period="Total Year", selected_year, DATE(selected_year, selected_period, 1)), 'Budget Plannning'!$D$7:$GB$7, 0)
  )
)</f>
        <v>60000</v>
      </c>
      <c r="M40" s="42" cm="1">
        <f t="array" ref="M40">IF(is_category,
  IF(header_row_id=income_header_row, MATCH(income_min_row, $C:$C, 0),
    IF(header_row_id=expenditure_header_row, MATCH(expenditure_min_row, $C:$C, 0),
      IF(header_row_id=savings_header_row, MATCH(savings_min_row, $C:$C, 0), ""))), "")</f>
        <v>40</v>
      </c>
      <c r="N40" s="43" cm="1">
        <f t="array" ref="N40">IF(is_category,
  IF(header_row_id=income_header_row, MATCH(income_max_row, $C:$C, 0),
    IF(header_row_id=expenditure_header_row, MATCH(expenditure_max_row, $C:$C, 0),
      IF(header_row_id=savings_header_row, MATCH(savings_max_row, $C:$C, 0), ""))), "")</f>
        <v>52</v>
      </c>
      <c r="O40" s="42" t="str">
        <f t="shared" si="3"/>
        <v>$K$40:$K$52</v>
      </c>
      <c r="P40" s="3">
        <f t="shared" ca="1" si="4"/>
        <v>3</v>
      </c>
      <c r="Q40" s="3" t="str">
        <f t="shared" si="5"/>
        <v>$L$40:$L$52</v>
      </c>
      <c r="R40" s="43">
        <f t="shared" ca="1" si="6"/>
        <v>2</v>
      </c>
      <c r="S40" s="42">
        <f t="shared" ca="1" si="7"/>
        <v>32</v>
      </c>
      <c r="T40" s="3" t="str">
        <f t="shared" si="8"/>
        <v>$S$40:$S$52</v>
      </c>
      <c r="U40" s="3">
        <f t="shared" ca="1" si="9"/>
        <v>3</v>
      </c>
      <c r="V40" s="3" t="str">
        <f t="shared" si="10"/>
        <v>$U$40:$U$40</v>
      </c>
      <c r="W40" s="43">
        <f t="shared" ca="1" si="11"/>
        <v>3</v>
      </c>
      <c r="X40" s="46">
        <f t="shared" ca="1" si="12"/>
        <v>46</v>
      </c>
      <c r="Y40" s="47" t="str">
        <f t="shared" ca="1" si="13"/>
        <v>Retirement</v>
      </c>
      <c r="Z40" s="48">
        <f t="shared" ca="1" si="14"/>
        <v>25000</v>
      </c>
      <c r="AA40" s="48">
        <f t="shared" ca="1" si="15"/>
        <v>24000</v>
      </c>
      <c r="AB40" s="49">
        <f t="shared" ca="1" si="16"/>
        <v>1.0416666666666667</v>
      </c>
      <c r="AC40" s="48">
        <f t="shared" ca="1" si="17"/>
        <v>0</v>
      </c>
      <c r="AD40" s="48">
        <f t="shared" ca="1" si="18"/>
        <v>1000</v>
      </c>
    </row>
    <row r="41" spans="3:44" x14ac:dyDescent="0.3">
      <c r="C41" s="42" cm="1">
        <f t="array" ref="C41">IF(C40=-1, -1,
  IF(C40&lt;income_max_row, C40+1,
    IF(C40=income_max_row, income_total_row,
      IF(C40=income_total_row, "/1",
        IF(C40="/1", expenditure_header_row,
          IF(C40&lt;expenditure_max_row, C40+1,
            IF(C40=expenditure_max_row, expenditure_total_row,
              IF(C40=expenditure_total_row, "/2",
                IF(C40="/2", savings_header_row,
                  IF(C40&lt;savings_max_row, C40+1,
                    IF(C40=savings_max_row, savings_total_row, -1)))))))))))</f>
        <v>45</v>
      </c>
      <c r="D41" s="43">
        <f t="shared" si="0"/>
        <v>43</v>
      </c>
      <c r="E41" s="42" cm="1">
        <f t="array" ref="E41">1*OR(row_id=income_header_row, row_id=expenditure_header_row, row_id=savings_header_row)</f>
        <v>0</v>
      </c>
      <c r="F41" s="3">
        <f t="shared" si="1"/>
        <v>1</v>
      </c>
      <c r="G41" s="3" cm="1">
        <f t="array" ref="G41">1*OR(row_id=income_total_row, row_id=expenditure_total_row, row_id=savings_total_row)</f>
        <v>0</v>
      </c>
      <c r="H41" s="43">
        <f t="shared" si="2"/>
        <v>0</v>
      </c>
      <c r="I41" s="42" t="str" cm="1">
        <f t="array" ref="I41">IFERROR(INDEX('Budget Plannning'!$B:$B, header_row_id), " ")</f>
        <v>Savings</v>
      </c>
      <c r="J41" s="3" t="str" cm="1">
        <f t="array" ref="J41">IFERROR(INDEX('Budget Plannning'!$B:$B, row_id), " ")</f>
        <v>Retirement</v>
      </c>
      <c r="K41" s="44" cm="1">
        <f t="array" ref="K41">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25000</v>
      </c>
      <c r="L41" s="45" cm="1">
        <f t="array" ref="L41">IF(OR(is_header, is_empty), "",
  INDEX('Budget Plannning'!$D:$GB, row_id,
    MATCH(IF(selected_period="Total Year", selected_year, DATE(selected_year, selected_period, 1)), 'Budget Plannning'!$D$7:$GB$7, 0)
  )
)</f>
        <v>24000</v>
      </c>
      <c r="M41" s="42" cm="1">
        <f t="array" ref="M41">IF(is_category,
  IF(header_row_id=income_header_row, MATCH(income_min_row, $C:$C, 0),
    IF(header_row_id=expenditure_header_row, MATCH(expenditure_min_row, $C:$C, 0),
      IF(header_row_id=savings_header_row, MATCH(savings_min_row, $C:$C, 0), ""))), "")</f>
        <v>40</v>
      </c>
      <c r="N41" s="43" cm="1">
        <f t="array" ref="N41">IF(is_category,
  IF(header_row_id=income_header_row, MATCH(income_max_row, $C:$C, 0),
    IF(header_row_id=expenditure_header_row, MATCH(expenditure_max_row, $C:$C, 0),
      IF(header_row_id=savings_header_row, MATCH(savings_max_row, $C:$C, 0), ""))), "")</f>
        <v>52</v>
      </c>
      <c r="O41" s="42" t="str">
        <f t="shared" si="3"/>
        <v>$K$40:$K$52</v>
      </c>
      <c r="P41" s="3">
        <f t="shared" ca="1" si="4"/>
        <v>1</v>
      </c>
      <c r="Q41" s="3" t="str">
        <f t="shared" si="5"/>
        <v>$L$40:$L$52</v>
      </c>
      <c r="R41" s="43">
        <f t="shared" ca="1" si="6"/>
        <v>3</v>
      </c>
      <c r="S41" s="42">
        <f t="shared" ca="1" si="7"/>
        <v>13</v>
      </c>
      <c r="T41" s="3" t="str">
        <f t="shared" si="8"/>
        <v>$S$40:$S$52</v>
      </c>
      <c r="U41" s="3">
        <f t="shared" ca="1" si="9"/>
        <v>1</v>
      </c>
      <c r="V41" s="3" t="str">
        <f t="shared" si="10"/>
        <v>$U$40:$U$41</v>
      </c>
      <c r="W41" s="43">
        <f t="shared" ca="1" si="11"/>
        <v>1</v>
      </c>
      <c r="X41" s="46">
        <f t="shared" ca="1" si="12"/>
        <v>44</v>
      </c>
      <c r="Y41" s="47" t="str">
        <f t="shared" ca="1" si="13"/>
        <v>Investment Savings</v>
      </c>
      <c r="Z41" s="48">
        <f t="shared" ca="1" si="14"/>
        <v>20000</v>
      </c>
      <c r="AA41" s="48">
        <f t="shared" ca="1" si="15"/>
        <v>108000</v>
      </c>
      <c r="AB41" s="49">
        <f t="shared" ca="1" si="16"/>
        <v>0.18518518518518517</v>
      </c>
      <c r="AC41" s="48">
        <f t="shared" ca="1" si="17"/>
        <v>88000</v>
      </c>
      <c r="AD41" s="48">
        <f t="shared" ca="1" si="18"/>
        <v>0</v>
      </c>
    </row>
    <row r="42" spans="3:44" x14ac:dyDescent="0.3">
      <c r="C42" s="42" cm="1">
        <f t="array" ref="C42">IF(C41=-1, -1,
  IF(C41&lt;income_max_row, C41+1,
    IF(C41=income_max_row, income_total_row,
      IF(C41=income_total_row, "/1",
        IF(C41="/1", expenditure_header_row,
          IF(C41&lt;expenditure_max_row, C41+1,
            IF(C41=expenditure_max_row, expenditure_total_row,
              IF(C41=expenditure_total_row, "/2",
                IF(C41="/2", savings_header_row,
                  IF(C41&lt;savings_max_row, C41+1,
                    IF(C41=savings_max_row, savings_total_row, -1)))))))))))</f>
        <v>46</v>
      </c>
      <c r="D42" s="43">
        <f t="shared" si="0"/>
        <v>43</v>
      </c>
      <c r="E42" s="42" cm="1">
        <f t="array" ref="E42">1*OR(row_id=income_header_row, row_id=expenditure_header_row, row_id=savings_header_row)</f>
        <v>0</v>
      </c>
      <c r="F42" s="3">
        <f t="shared" si="1"/>
        <v>1</v>
      </c>
      <c r="G42" s="3" cm="1">
        <f t="array" ref="G42">1*OR(row_id=income_total_row, row_id=expenditure_total_row, row_id=savings_total_row)</f>
        <v>0</v>
      </c>
      <c r="H42" s="43">
        <f t="shared" si="2"/>
        <v>0</v>
      </c>
      <c r="I42" s="42" t="str" cm="1">
        <f t="array" ref="I42">IFERROR(INDEX('Budget Plannning'!$B:$B, header_row_id), " ")</f>
        <v>Savings</v>
      </c>
      <c r="J42" s="3" t="str" cm="1">
        <f t="array" ref="J42">IFERROR(INDEX('Budget Plannning'!$B:$B, row_id), " ")</f>
        <v>Sinking Down Payment</v>
      </c>
      <c r="K42" s="44" cm="1">
        <f t="array" ref="K42">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2" s="45" cm="1">
        <f t="array" ref="L42">IF(OR(is_header, is_empty), "",
  INDEX('Budget Plannning'!$D:$GB, row_id,
    MATCH(IF(selected_period="Total Year", selected_year, DATE(selected_year, selected_period, 1)), 'Budget Plannning'!$D$7:$GB$7, 0)
  )
)</f>
        <v>12000</v>
      </c>
      <c r="M42" s="42" cm="1">
        <f t="array" ref="M42">IF(is_category,
  IF(header_row_id=income_header_row, MATCH(income_min_row, $C:$C, 0),
    IF(header_row_id=expenditure_header_row, MATCH(expenditure_min_row, $C:$C, 0),
      IF(header_row_id=savings_header_row, MATCH(savings_min_row, $C:$C, 0), ""))), "")</f>
        <v>40</v>
      </c>
      <c r="N42" s="43" cm="1">
        <f t="array" ref="N42">IF(is_category,
  IF(header_row_id=income_header_row, MATCH(income_max_row, $C:$C, 0),
    IF(header_row_id=expenditure_header_row, MATCH(expenditure_max_row, $C:$C, 0),
      IF(header_row_id=savings_header_row, MATCH(savings_max_row, $C:$C, 0), ""))), "")</f>
        <v>52</v>
      </c>
      <c r="O42" s="42" t="str">
        <f t="shared" si="3"/>
        <v>$K$40:$K$52</v>
      </c>
      <c r="P42" s="3">
        <f t="shared" ca="1" si="4"/>
        <v>3</v>
      </c>
      <c r="Q42" s="3" t="str">
        <f t="shared" si="5"/>
        <v>$L$40:$L$52</v>
      </c>
      <c r="R42" s="43">
        <f t="shared" ca="1" si="6"/>
        <v>4</v>
      </c>
      <c r="S42" s="42">
        <f t="shared" ca="1" si="7"/>
        <v>34</v>
      </c>
      <c r="T42" s="3" t="str">
        <f t="shared" si="8"/>
        <v>$S$40:$S$52</v>
      </c>
      <c r="U42" s="3">
        <f t="shared" ca="1" si="9"/>
        <v>4</v>
      </c>
      <c r="V42" s="3" t="str">
        <f t="shared" si="10"/>
        <v>$U$40:$U$42</v>
      </c>
      <c r="W42" s="43">
        <f t="shared" ca="1" si="11"/>
        <v>4</v>
      </c>
      <c r="X42" s="46">
        <f t="shared" ca="1" si="12"/>
        <v>47</v>
      </c>
      <c r="Y42" s="47" t="str">
        <f t="shared" ca="1" si="13"/>
        <v>Emergency Fund</v>
      </c>
      <c r="Z42" s="48">
        <f t="shared" ca="1" si="14"/>
        <v>0</v>
      </c>
      <c r="AA42" s="48">
        <f t="shared" ca="1" si="15"/>
        <v>60000</v>
      </c>
      <c r="AB42" s="49">
        <f t="shared" ca="1" si="16"/>
        <v>0</v>
      </c>
      <c r="AC42" s="48">
        <f t="shared" ca="1" si="17"/>
        <v>60000</v>
      </c>
      <c r="AD42" s="48">
        <f t="shared" ca="1" si="18"/>
        <v>0</v>
      </c>
    </row>
    <row r="43" spans="3:44" x14ac:dyDescent="0.3">
      <c r="C43" s="42" cm="1">
        <f t="array" ref="C43">IF(C42=-1, -1,
  IF(C42&lt;income_max_row, C42+1,
    IF(C42=income_max_row, income_total_row,
      IF(C42=income_total_row, "/1",
        IF(C42="/1", expenditure_header_row,
          IF(C42&lt;expenditure_max_row, C42+1,
            IF(C42=expenditure_max_row, expenditure_total_row,
              IF(C42=expenditure_total_row, "/2",
                IF(C42="/2", savings_header_row,
                  IF(C42&lt;savings_max_row, C42+1,
                    IF(C42=savings_max_row, savings_total_row, -1)))))))))))</f>
        <v>47</v>
      </c>
      <c r="D43" s="43">
        <f t="shared" si="0"/>
        <v>43</v>
      </c>
      <c r="E43" s="42" cm="1">
        <f t="array" ref="E43">1*OR(row_id=income_header_row, row_id=expenditure_header_row, row_id=savings_header_row)</f>
        <v>0</v>
      </c>
      <c r="F43" s="3">
        <f t="shared" si="1"/>
        <v>1</v>
      </c>
      <c r="G43" s="3" cm="1">
        <f t="array" ref="G43">1*OR(row_id=income_total_row, row_id=expenditure_total_row, row_id=savings_total_row)</f>
        <v>0</v>
      </c>
      <c r="H43" s="43">
        <f t="shared" si="2"/>
        <v>0</v>
      </c>
      <c r="I43" s="42" t="str" cm="1">
        <f t="array" ref="I43">IFERROR(INDEX('Budget Plannning'!$B:$B, header_row_id), " ")</f>
        <v>Savings</v>
      </c>
      <c r="J43" s="3" t="str" cm="1">
        <f t="array" ref="J43">IFERROR(INDEX('Budget Plannning'!$B:$B, row_id), " ")</f>
        <v>Sinking Fund Rest</v>
      </c>
      <c r="K43" s="44" cm="1">
        <f t="array" ref="K43">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3" s="45" cm="1">
        <f t="array" ref="L43">IF(OR(is_header, is_empty), "",
  INDEX('Budget Plannning'!$D:$GB, row_id,
    MATCH(IF(selected_period="Total Year", selected_year, DATE(selected_year, selected_period, 1)), 'Budget Plannning'!$D$7:$GB$7, 0)
  )
)</f>
        <v>12000</v>
      </c>
      <c r="M43" s="42" cm="1">
        <f t="array" ref="M43">IF(is_category,
  IF(header_row_id=income_header_row, MATCH(income_min_row, $C:$C, 0),
    IF(header_row_id=expenditure_header_row, MATCH(expenditure_min_row, $C:$C, 0),
      IF(header_row_id=savings_header_row, MATCH(savings_min_row, $C:$C, 0), ""))), "")</f>
        <v>40</v>
      </c>
      <c r="N43" s="43" cm="1">
        <f t="array" ref="N43">IF(is_category,
  IF(header_row_id=income_header_row, MATCH(income_max_row, $C:$C, 0),
    IF(header_row_id=expenditure_header_row, MATCH(expenditure_max_row, $C:$C, 0),
      IF(header_row_id=savings_header_row, MATCH(savings_max_row, $C:$C, 0), ""))), "")</f>
        <v>52</v>
      </c>
      <c r="O43" s="42" t="str">
        <f t="shared" si="3"/>
        <v>$K$40:$K$52</v>
      </c>
      <c r="P43" s="3">
        <f t="shared" ca="1" si="4"/>
        <v>3</v>
      </c>
      <c r="Q43" s="3" t="str">
        <f t="shared" si="5"/>
        <v>$L$40:$L$52</v>
      </c>
      <c r="R43" s="43">
        <f t="shared" ca="1" si="6"/>
        <v>4</v>
      </c>
      <c r="S43" s="42">
        <f t="shared" ca="1" si="7"/>
        <v>34</v>
      </c>
      <c r="T43" s="3" t="str">
        <f t="shared" si="8"/>
        <v>$S$40:$S$52</v>
      </c>
      <c r="U43" s="3">
        <f t="shared" ca="1" si="9"/>
        <v>4</v>
      </c>
      <c r="V43" s="3" t="str">
        <f t="shared" si="10"/>
        <v>$U$40:$U$43</v>
      </c>
      <c r="W43" s="43">
        <f t="shared" ca="1" si="11"/>
        <v>5</v>
      </c>
      <c r="X43" s="46">
        <f t="shared" ca="1" si="12"/>
        <v>48</v>
      </c>
      <c r="Y43" s="47" t="str">
        <f t="shared" ca="1" si="13"/>
        <v>Sinking Down Payment</v>
      </c>
      <c r="Z43" s="48">
        <f t="shared" ca="1" si="14"/>
        <v>0</v>
      </c>
      <c r="AA43" s="48">
        <f t="shared" ca="1" si="15"/>
        <v>12000</v>
      </c>
      <c r="AB43" s="49">
        <f t="shared" ca="1" si="16"/>
        <v>0</v>
      </c>
      <c r="AC43" s="48">
        <f t="shared" ca="1" si="17"/>
        <v>12000</v>
      </c>
      <c r="AD43" s="48">
        <f t="shared" ca="1" si="18"/>
        <v>0</v>
      </c>
    </row>
    <row r="44" spans="3:44" x14ac:dyDescent="0.3">
      <c r="C44" s="42" cm="1">
        <f t="array" ref="C44">IF(C43=-1, -1,
  IF(C43&lt;income_max_row, C43+1,
    IF(C43=income_max_row, income_total_row,
      IF(C43=income_total_row, "/1",
        IF(C43="/1", expenditure_header_row,
          IF(C43&lt;expenditure_max_row, C43+1,
            IF(C43=expenditure_max_row, expenditure_total_row,
              IF(C43=expenditure_total_row, "/2",
                IF(C43="/2", savings_header_row,
                  IF(C43&lt;savings_max_row, C43+1,
                    IF(C43=savings_max_row, savings_total_row, -1)))))))))))</f>
        <v>48</v>
      </c>
      <c r="D44" s="43">
        <f t="shared" ref="D44:D61" si="19">IF(is_header, row_id,
   IF(NOT(is_empty), D43, -1))</f>
        <v>43</v>
      </c>
      <c r="E44" s="42" cm="1">
        <f t="array" ref="E44">1*OR(row_id=income_header_row, row_id=expenditure_header_row, row_id=savings_header_row)</f>
        <v>0</v>
      </c>
      <c r="F44" s="3">
        <f t="shared" ref="F44:F61" si="20">1*NOT(OR(is_header, is_total, is_empty))</f>
        <v>1</v>
      </c>
      <c r="G44" s="3" cm="1">
        <f t="array" ref="G44">1*OR(row_id=income_total_row, row_id=expenditure_total_row, row_id=savings_total_row)</f>
        <v>0</v>
      </c>
      <c r="H44" s="43">
        <f t="shared" ref="H44:H61" si="21">1* OR(row_id="/1", row_id="/2", row_id=-1)</f>
        <v>0</v>
      </c>
      <c r="I44" s="42" t="str" cm="1">
        <f t="array" ref="I44">IFERROR(INDEX('Budget Plannning'!$B:$B, header_row_id), " ")</f>
        <v>Savings</v>
      </c>
      <c r="J44" s="3" t="str" cm="1">
        <f t="array" ref="J44">IFERROR(INDEX('Budget Plannning'!$B:$B, row_id), " ")</f>
        <v>Investment Savings</v>
      </c>
      <c r="K44" s="44" cm="1">
        <f t="array" ref="K44">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20000</v>
      </c>
      <c r="L44" s="45" cm="1">
        <f t="array" ref="L44">IF(OR(is_header, is_empty), "",
  INDEX('Budget Plannning'!$D:$GB, row_id,
    MATCH(IF(selected_period="Total Year", selected_year, DATE(selected_year, selected_period, 1)), 'Budget Plannning'!$D$7:$GB$7, 0)
  )
)</f>
        <v>108000</v>
      </c>
      <c r="M44" s="42" cm="1">
        <f t="array" ref="M44">IF(is_category,
  IF(header_row_id=income_header_row, MATCH(income_min_row, $C:$C, 0),
    IF(header_row_id=expenditure_header_row, MATCH(expenditure_min_row, $C:$C, 0),
      IF(header_row_id=savings_header_row, MATCH(savings_min_row, $C:$C, 0), ""))), "")</f>
        <v>40</v>
      </c>
      <c r="N44" s="43" cm="1">
        <f t="array" ref="N44">IF(is_category,
  IF(header_row_id=income_header_row, MATCH(income_max_row, $C:$C, 0),
    IF(header_row_id=expenditure_header_row, MATCH(expenditure_max_row, $C:$C, 0),
      IF(header_row_id=savings_header_row, MATCH(savings_max_row, $C:$C, 0), ""))), "")</f>
        <v>52</v>
      </c>
      <c r="O44" s="42" t="str">
        <f t="shared" ref="O44:O61" si="22">IF(is_category, ADDRESS(sort_min_row, COLUMN(tracked)) &amp; ":" &amp; ADDRESS(sort_max_row, COLUMN(tracked)), "")</f>
        <v>$K$40:$K$52</v>
      </c>
      <c r="P44" s="3">
        <f t="shared" ref="P44:P61" ca="1" si="23">IF(is_category, RANK(tracked, INDIRECT(tracked_range), 0), "")</f>
        <v>2</v>
      </c>
      <c r="Q44" s="3" t="str">
        <f t="shared" ref="Q44:Q61" si="24">IF(is_category, ADDRESS(sort_min_row, COLUMN(budget)) &amp; ":" &amp; ADDRESS(sort_max_row, COLUMN(budget)), "")</f>
        <v>$L$40:$L$52</v>
      </c>
      <c r="R44" s="43">
        <f t="shared" ref="R44:R61" ca="1" si="25">IF(is_category, RANK(budget, INDIRECT(budget_range), 0), "")</f>
        <v>1</v>
      </c>
      <c r="S44" s="42">
        <f t="shared" ref="S44:S61" ca="1" si="26">IF(is_category, _xlfn.NUMBERVALUE(tracked_rank &amp; budget_rank), "")</f>
        <v>21</v>
      </c>
      <c r="T44" s="3" t="str">
        <f t="shared" ref="T44:T61" si="27">IF(is_category, ADDRESS(sort_min_row, COLUMN(comb_rank)) &amp; ":" &amp; ADDRESS(sort_max_row, COLUMN(comb_rank)), "")</f>
        <v>$S$40:$S$52</v>
      </c>
      <c r="U44" s="3">
        <f t="shared" ref="U44:U61" ca="1" si="28">IF(is_category, RANK(comb_rank, INDIRECT(comb_rank_range), 1), "")</f>
        <v>2</v>
      </c>
      <c r="V44" s="3" t="str">
        <f t="shared" ref="V44:V61" si="29">IF(is_category, ADDRESS(sort_min_row, COLUMN(comb_rank_norm)) &amp; ":" &amp; ADDRESS(ROW(), COLUMN(comb_rank_norm)), "")</f>
        <v>$U$40:$U$44</v>
      </c>
      <c r="W44" s="43">
        <f t="shared" ref="W44:W61" ca="1" si="30">IF(is_category,comb_rank_norm + COUNTIF(INDIRECT(comb_rank_norm_run_range), comb_rank_norm)-1, "")</f>
        <v>2</v>
      </c>
      <c r="X44" s="46">
        <f t="shared" ref="X44:X61" ca="1" si="31">IF(is_category, header_row_id+comb_rank_unique, row_id)</f>
        <v>45</v>
      </c>
      <c r="Y44" s="47" t="str">
        <f t="shared" ref="Y44:Y61" ca="1" si="32">IF(is_empty, "", INDEX($J:$J, MATCH(row_id, $X:$X, 0)))</f>
        <v>Sinking Fund Rest</v>
      </c>
      <c r="Z44" s="48">
        <f t="shared" ref="Z44:Z61" ca="1" si="33">IF(is_empty, "", IF(is_header, "Tracked", INDEX($K:$K, MATCH(row_id, $X:$X, 0))))</f>
        <v>0</v>
      </c>
      <c r="AA44" s="48">
        <f t="shared" ref="AA44:AA61" ca="1" si="34">IF(is_empty, "", IF(is_header, "Budget", INDEX($L:$L, MATCH(row_id, $X:$X, 0))))</f>
        <v>12000</v>
      </c>
      <c r="AB44" s="49">
        <f t="shared" ca="1" si="16"/>
        <v>0</v>
      </c>
      <c r="AC44" s="48">
        <f t="shared" ref="AC44:AC61" ca="1" si="35">IF(is_empty, "", IF(is_header, "Remaining", IF(out_budget-out_tracked &gt; 0, out_budget-out_tracked, 0)))</f>
        <v>12000</v>
      </c>
      <c r="AD44" s="48">
        <f t="shared" ref="AD44:AD61" ca="1" si="36">IF(is_empty, "", IF(is_header, "Excess", IF(out_budget-out_tracked &lt; 0, out_tracked-out_budget, 0)))</f>
        <v>0</v>
      </c>
    </row>
    <row r="45" spans="3:44" x14ac:dyDescent="0.3">
      <c r="C45" s="42" cm="1">
        <f t="array" ref="C45">IF(C44=-1, -1,
  IF(C44&lt;income_max_row, C44+1,
    IF(C44=income_max_row, income_total_row,
      IF(C44=income_total_row, "/1",
        IF(C44="/1", expenditure_header_row,
          IF(C44&lt;expenditure_max_row, C44+1,
            IF(C44=expenditure_max_row, expenditure_total_row,
              IF(C44=expenditure_total_row, "/2",
                IF(C44="/2", savings_header_row,
                  IF(C44&lt;savings_max_row, C44+1,
                    IF(C44=savings_max_row, savings_total_row, -1)))))))))))</f>
        <v>49</v>
      </c>
      <c r="D45" s="43">
        <f t="shared" si="19"/>
        <v>43</v>
      </c>
      <c r="E45" s="42" cm="1">
        <f t="array" ref="E45">1*OR(row_id=income_header_row, row_id=expenditure_header_row, row_id=savings_header_row)</f>
        <v>0</v>
      </c>
      <c r="F45" s="3">
        <f t="shared" si="20"/>
        <v>1</v>
      </c>
      <c r="G45" s="3" cm="1">
        <f t="array" ref="G45">1*OR(row_id=income_total_row, row_id=expenditure_total_row, row_id=savings_total_row)</f>
        <v>0</v>
      </c>
      <c r="H45" s="43">
        <f t="shared" si="21"/>
        <v>0</v>
      </c>
      <c r="I45" s="42" t="str" cm="1">
        <f t="array" ref="I45">IFERROR(INDEX('Budget Plannning'!$B:$B, header_row_id), " ")</f>
        <v>Savings</v>
      </c>
      <c r="J45" s="3" t="str" cm="1">
        <f t="array" ref="J45">IFERROR(INDEX('Budget Plannning'!$B:$B, row_id), " ")</f>
        <v>Short-Term Goals</v>
      </c>
      <c r="K45" s="44" cm="1">
        <f t="array" ref="K45">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5" s="45" cm="1">
        <f t="array" ref="L45">IF(OR(is_header, is_empty), "",
  INDEX('Budget Plannning'!$D:$GB, row_id,
    MATCH(IF(selected_period="Total Year", selected_year, DATE(selected_year, selected_period, 1)), 'Budget Plannning'!$D$7:$GB$7, 0)
  )
)</f>
        <v>0</v>
      </c>
      <c r="M45" s="42" cm="1">
        <f t="array" ref="M45">IF(is_category,
  IF(header_row_id=income_header_row, MATCH(income_min_row, $C:$C, 0),
    IF(header_row_id=expenditure_header_row, MATCH(expenditure_min_row, $C:$C, 0),
      IF(header_row_id=savings_header_row, MATCH(savings_min_row, $C:$C, 0), ""))), "")</f>
        <v>40</v>
      </c>
      <c r="N45" s="43" cm="1">
        <f t="array" ref="N45">IF(is_category,
  IF(header_row_id=income_header_row, MATCH(income_max_row, $C:$C, 0),
    IF(header_row_id=expenditure_header_row, MATCH(expenditure_max_row, $C:$C, 0),
      IF(header_row_id=savings_header_row, MATCH(savings_max_row, $C:$C, 0), ""))), "")</f>
        <v>52</v>
      </c>
      <c r="O45" s="42" t="str">
        <f t="shared" si="22"/>
        <v>$K$40:$K$52</v>
      </c>
      <c r="P45" s="3">
        <f t="shared" ca="1" si="23"/>
        <v>3</v>
      </c>
      <c r="Q45" s="3" t="str">
        <f t="shared" si="24"/>
        <v>$L$40:$L$52</v>
      </c>
      <c r="R45" s="43">
        <f t="shared" ca="1" si="25"/>
        <v>6</v>
      </c>
      <c r="S45" s="42">
        <f t="shared" ca="1" si="26"/>
        <v>36</v>
      </c>
      <c r="T45" s="3" t="str">
        <f t="shared" si="27"/>
        <v>$S$40:$S$52</v>
      </c>
      <c r="U45" s="3">
        <f t="shared" ca="1" si="28"/>
        <v>6</v>
      </c>
      <c r="V45" s="3" t="str">
        <f t="shared" si="29"/>
        <v>$U$40:$U$45</v>
      </c>
      <c r="W45" s="43">
        <f t="shared" ca="1" si="30"/>
        <v>6</v>
      </c>
      <c r="X45" s="46">
        <f t="shared" ca="1" si="31"/>
        <v>49</v>
      </c>
      <c r="Y45" s="47" t="str">
        <f t="shared" ca="1" si="32"/>
        <v>Short-Term Goals</v>
      </c>
      <c r="Z45" s="48">
        <f t="shared" ca="1" si="33"/>
        <v>0</v>
      </c>
      <c r="AA45" s="48">
        <f t="shared" ca="1" si="34"/>
        <v>0</v>
      </c>
      <c r="AB45" s="49" t="str">
        <f t="shared" ca="1" si="16"/>
        <v>-</v>
      </c>
      <c r="AC45" s="48">
        <f t="shared" ca="1" si="35"/>
        <v>0</v>
      </c>
      <c r="AD45" s="48">
        <f t="shared" ca="1" si="36"/>
        <v>0</v>
      </c>
    </row>
    <row r="46" spans="3:44" x14ac:dyDescent="0.3">
      <c r="C46" s="42" cm="1">
        <f t="array" ref="C46">IF(C45=-1, -1,
  IF(C45&lt;income_max_row, C45+1,
    IF(C45=income_max_row, income_total_row,
      IF(C45=income_total_row, "/1",
        IF(C45="/1", expenditure_header_row,
          IF(C45&lt;expenditure_max_row, C45+1,
            IF(C45=expenditure_max_row, expenditure_total_row,
              IF(C45=expenditure_total_row, "/2",
                IF(C45="/2", savings_header_row,
                  IF(C45&lt;savings_max_row, C45+1,
                    IF(C45=savings_max_row, savings_total_row, -1)))))))))))</f>
        <v>50</v>
      </c>
      <c r="D46" s="43">
        <f t="shared" si="19"/>
        <v>43</v>
      </c>
      <c r="E46" s="42" cm="1">
        <f t="array" ref="E46">1*OR(row_id=income_header_row, row_id=expenditure_header_row, row_id=savings_header_row)</f>
        <v>0</v>
      </c>
      <c r="F46" s="3">
        <f t="shared" si="20"/>
        <v>1</v>
      </c>
      <c r="G46" s="3" cm="1">
        <f t="array" ref="G46">1*OR(row_id=income_total_row, row_id=expenditure_total_row, row_id=savings_total_row)</f>
        <v>0</v>
      </c>
      <c r="H46" s="43">
        <f t="shared" si="21"/>
        <v>0</v>
      </c>
      <c r="I46" s="42" t="str" cm="1">
        <f t="array" ref="I46">IFERROR(INDEX('Budget Plannning'!$B:$B, header_row_id), " ")</f>
        <v>Savings</v>
      </c>
      <c r="J46" s="3" t="str" cm="1">
        <f t="array" ref="J46">IFERROR(INDEX('Budget Plannning'!$B:$B, row_id), " ")</f>
        <v>Long-Term Goals</v>
      </c>
      <c r="K46" s="44" cm="1">
        <f t="array" ref="K46">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6" s="45" cm="1">
        <f t="array" ref="L46">IF(OR(is_header, is_empty), "",
  INDEX('Budget Plannning'!$D:$GB, row_id,
    MATCH(IF(selected_period="Total Year", selected_year, DATE(selected_year, selected_period, 1)), 'Budget Plannning'!$D$7:$GB$7, 0)
  )
)</f>
        <v>0</v>
      </c>
      <c r="M46" s="42" cm="1">
        <f t="array" ref="M46">IF(is_category,
  IF(header_row_id=income_header_row, MATCH(income_min_row, $C:$C, 0),
    IF(header_row_id=expenditure_header_row, MATCH(expenditure_min_row, $C:$C, 0),
      IF(header_row_id=savings_header_row, MATCH(savings_min_row, $C:$C, 0), ""))), "")</f>
        <v>40</v>
      </c>
      <c r="N46" s="43" cm="1">
        <f t="array" ref="N46">IF(is_category,
  IF(header_row_id=income_header_row, MATCH(income_max_row, $C:$C, 0),
    IF(header_row_id=expenditure_header_row, MATCH(expenditure_max_row, $C:$C, 0),
      IF(header_row_id=savings_header_row, MATCH(savings_max_row, $C:$C, 0), ""))), "")</f>
        <v>52</v>
      </c>
      <c r="O46" s="42" t="str">
        <f t="shared" si="22"/>
        <v>$K$40:$K$52</v>
      </c>
      <c r="P46" s="3">
        <f t="shared" ca="1" si="23"/>
        <v>3</v>
      </c>
      <c r="Q46" s="3" t="str">
        <f t="shared" si="24"/>
        <v>$L$40:$L$52</v>
      </c>
      <c r="R46" s="43">
        <f t="shared" ca="1" si="25"/>
        <v>6</v>
      </c>
      <c r="S46" s="42">
        <f t="shared" ca="1" si="26"/>
        <v>36</v>
      </c>
      <c r="T46" s="3" t="str">
        <f t="shared" si="27"/>
        <v>$S$40:$S$52</v>
      </c>
      <c r="U46" s="3">
        <f t="shared" ca="1" si="28"/>
        <v>6</v>
      </c>
      <c r="V46" s="3" t="str">
        <f t="shared" si="29"/>
        <v>$U$40:$U$46</v>
      </c>
      <c r="W46" s="43">
        <f t="shared" ca="1" si="30"/>
        <v>7</v>
      </c>
      <c r="X46" s="46">
        <f t="shared" ca="1" si="31"/>
        <v>50</v>
      </c>
      <c r="Y46" s="47" t="str">
        <f t="shared" ca="1" si="32"/>
        <v>Long-Term Goals</v>
      </c>
      <c r="Z46" s="48">
        <f t="shared" ca="1" si="33"/>
        <v>0</v>
      </c>
      <c r="AA46" s="48">
        <f t="shared" ca="1" si="34"/>
        <v>0</v>
      </c>
      <c r="AB46" s="49" t="str">
        <f t="shared" ca="1" si="16"/>
        <v>-</v>
      </c>
      <c r="AC46" s="48">
        <f t="shared" ca="1" si="35"/>
        <v>0</v>
      </c>
      <c r="AD46" s="48">
        <f t="shared" ca="1" si="36"/>
        <v>0</v>
      </c>
    </row>
    <row r="47" spans="3:44" x14ac:dyDescent="0.3">
      <c r="C47" s="42" cm="1">
        <f t="array" ref="C47">IF(C46=-1, -1,
  IF(C46&lt;income_max_row, C46+1,
    IF(C46=income_max_row, income_total_row,
      IF(C46=income_total_row, "/1",
        IF(C46="/1", expenditure_header_row,
          IF(C46&lt;expenditure_max_row, C46+1,
            IF(C46=expenditure_max_row, expenditure_total_row,
              IF(C46=expenditure_total_row, "/2",
                IF(C46="/2", savings_header_row,
                  IF(C46&lt;savings_max_row, C46+1,
                    IF(C46=savings_max_row, savings_total_row, -1)))))))))))</f>
        <v>51</v>
      </c>
      <c r="D47" s="43">
        <f t="shared" si="19"/>
        <v>43</v>
      </c>
      <c r="E47" s="42" cm="1">
        <f t="array" ref="E47">1*OR(row_id=income_header_row, row_id=expenditure_header_row, row_id=savings_header_row)</f>
        <v>0</v>
      </c>
      <c r="F47" s="3">
        <f t="shared" si="20"/>
        <v>1</v>
      </c>
      <c r="G47" s="3" cm="1">
        <f t="array" ref="G47">1*OR(row_id=income_total_row, row_id=expenditure_total_row, row_id=savings_total_row)</f>
        <v>0</v>
      </c>
      <c r="H47" s="43">
        <f t="shared" si="21"/>
        <v>0</v>
      </c>
      <c r="I47" s="42" t="str" cm="1">
        <f t="array" ref="I47">IFERROR(INDEX('Budget Plannning'!$B:$B, header_row_id), " ")</f>
        <v>Savings</v>
      </c>
      <c r="J47" s="3" t="str" cm="1">
        <f t="array" ref="J47">IFERROR(INDEX('Budget Plannning'!$B:$B, row_id), " ")</f>
        <v>Education Fund</v>
      </c>
      <c r="K47" s="44" cm="1">
        <f t="array" ref="K47">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7" s="45" cm="1">
        <f t="array" ref="L47">IF(OR(is_header, is_empty), "",
  INDEX('Budget Plannning'!$D:$GB, row_id,
    MATCH(IF(selected_period="Total Year", selected_year, DATE(selected_year, selected_period, 1)), 'Budget Plannning'!$D$7:$GB$7, 0)
  )
)</f>
        <v>0</v>
      </c>
      <c r="M47" s="42" cm="1">
        <f t="array" ref="M47">IF(is_category,
  IF(header_row_id=income_header_row, MATCH(income_min_row, $C:$C, 0),
    IF(header_row_id=expenditure_header_row, MATCH(expenditure_min_row, $C:$C, 0),
      IF(header_row_id=savings_header_row, MATCH(savings_min_row, $C:$C, 0), ""))), "")</f>
        <v>40</v>
      </c>
      <c r="N47" s="43" cm="1">
        <f t="array" ref="N47">IF(is_category,
  IF(header_row_id=income_header_row, MATCH(income_max_row, $C:$C, 0),
    IF(header_row_id=expenditure_header_row, MATCH(expenditure_max_row, $C:$C, 0),
      IF(header_row_id=savings_header_row, MATCH(savings_max_row, $C:$C, 0), ""))), "")</f>
        <v>52</v>
      </c>
      <c r="O47" s="42" t="str">
        <f t="shared" si="22"/>
        <v>$K$40:$K$52</v>
      </c>
      <c r="P47" s="3">
        <f t="shared" ca="1" si="23"/>
        <v>3</v>
      </c>
      <c r="Q47" s="3" t="str">
        <f t="shared" si="24"/>
        <v>$L$40:$L$52</v>
      </c>
      <c r="R47" s="43">
        <f t="shared" ca="1" si="25"/>
        <v>6</v>
      </c>
      <c r="S47" s="42">
        <f t="shared" ca="1" si="26"/>
        <v>36</v>
      </c>
      <c r="T47" s="3" t="str">
        <f t="shared" si="27"/>
        <v>$S$40:$S$52</v>
      </c>
      <c r="U47" s="3">
        <f t="shared" ca="1" si="28"/>
        <v>6</v>
      </c>
      <c r="V47" s="3" t="str">
        <f t="shared" si="29"/>
        <v>$U$40:$U$47</v>
      </c>
      <c r="W47" s="43">
        <f t="shared" ca="1" si="30"/>
        <v>8</v>
      </c>
      <c r="X47" s="46">
        <f t="shared" ca="1" si="31"/>
        <v>51</v>
      </c>
      <c r="Y47" s="47" t="str">
        <f t="shared" ca="1" si="32"/>
        <v>Education Fund</v>
      </c>
      <c r="Z47" s="48">
        <f t="shared" ca="1" si="33"/>
        <v>0</v>
      </c>
      <c r="AA47" s="48">
        <f t="shared" ca="1" si="34"/>
        <v>0</v>
      </c>
      <c r="AB47" s="49" t="str">
        <f t="shared" ca="1" si="16"/>
        <v>-</v>
      </c>
      <c r="AC47" s="48">
        <f t="shared" ca="1" si="35"/>
        <v>0</v>
      </c>
      <c r="AD47" s="48">
        <f t="shared" ca="1" si="36"/>
        <v>0</v>
      </c>
    </row>
    <row r="48" spans="3:44" x14ac:dyDescent="0.3">
      <c r="C48" s="42" cm="1">
        <f t="array" ref="C48">IF(C47=-1, -1,
  IF(C47&lt;income_max_row, C47+1,
    IF(C47=income_max_row, income_total_row,
      IF(C47=income_total_row, "/1",
        IF(C47="/1", expenditure_header_row,
          IF(C47&lt;expenditure_max_row, C47+1,
            IF(C47=expenditure_max_row, expenditure_total_row,
              IF(C47=expenditure_total_row, "/2",
                IF(C47="/2", savings_header_row,
                  IF(C47&lt;savings_max_row, C47+1,
                    IF(C47=savings_max_row, savings_total_row, -1)))))))))))</f>
        <v>52</v>
      </c>
      <c r="D48" s="43">
        <f t="shared" si="19"/>
        <v>43</v>
      </c>
      <c r="E48" s="42" cm="1">
        <f t="array" ref="E48">1*OR(row_id=income_header_row, row_id=expenditure_header_row, row_id=savings_header_row)</f>
        <v>0</v>
      </c>
      <c r="F48" s="3">
        <f t="shared" si="20"/>
        <v>1</v>
      </c>
      <c r="G48" s="3" cm="1">
        <f t="array" ref="G48">1*OR(row_id=income_total_row, row_id=expenditure_total_row, row_id=savings_total_row)</f>
        <v>0</v>
      </c>
      <c r="H48" s="43">
        <f t="shared" si="21"/>
        <v>0</v>
      </c>
      <c r="I48" s="42" t="str" cm="1">
        <f t="array" ref="I48">IFERROR(INDEX('Budget Plannning'!$B:$B, header_row_id), " ")</f>
        <v>Savings</v>
      </c>
      <c r="J48" s="3" t="str" cm="1">
        <f t="array" ref="J48">IFERROR(INDEX('Budget Plannning'!$B:$B, row_id), " ")</f>
        <v>Health Savings</v>
      </c>
      <c r="K48" s="44" cm="1">
        <f t="array" ref="K48">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8" s="45" cm="1">
        <f t="array" ref="L48">IF(OR(is_header, is_empty), "",
  INDEX('Budget Plannning'!$D:$GB, row_id,
    MATCH(IF(selected_period="Total Year", selected_year, DATE(selected_year, selected_period, 1)), 'Budget Plannning'!$D$7:$GB$7, 0)
  )
)</f>
        <v>0</v>
      </c>
      <c r="M48" s="42" cm="1">
        <f t="array" ref="M48">IF(is_category,
  IF(header_row_id=income_header_row, MATCH(income_min_row, $C:$C, 0),
    IF(header_row_id=expenditure_header_row, MATCH(expenditure_min_row, $C:$C, 0),
      IF(header_row_id=savings_header_row, MATCH(savings_min_row, $C:$C, 0), ""))), "")</f>
        <v>40</v>
      </c>
      <c r="N48" s="43" cm="1">
        <f t="array" ref="N48">IF(is_category,
  IF(header_row_id=income_header_row, MATCH(income_max_row, $C:$C, 0),
    IF(header_row_id=expenditure_header_row, MATCH(expenditure_max_row, $C:$C, 0),
      IF(header_row_id=savings_header_row, MATCH(savings_max_row, $C:$C, 0), ""))), "")</f>
        <v>52</v>
      </c>
      <c r="O48" s="42" t="str">
        <f t="shared" si="22"/>
        <v>$K$40:$K$52</v>
      </c>
      <c r="P48" s="3">
        <f t="shared" ca="1" si="23"/>
        <v>3</v>
      </c>
      <c r="Q48" s="3" t="str">
        <f t="shared" si="24"/>
        <v>$L$40:$L$52</v>
      </c>
      <c r="R48" s="43">
        <f t="shared" ca="1" si="25"/>
        <v>6</v>
      </c>
      <c r="S48" s="42">
        <f t="shared" ca="1" si="26"/>
        <v>36</v>
      </c>
      <c r="T48" s="3" t="str">
        <f t="shared" si="27"/>
        <v>$S$40:$S$52</v>
      </c>
      <c r="U48" s="3">
        <f t="shared" ca="1" si="28"/>
        <v>6</v>
      </c>
      <c r="V48" s="3" t="str">
        <f t="shared" si="29"/>
        <v>$U$40:$U$48</v>
      </c>
      <c r="W48" s="43">
        <f t="shared" ca="1" si="30"/>
        <v>9</v>
      </c>
      <c r="X48" s="46">
        <f t="shared" ca="1" si="31"/>
        <v>52</v>
      </c>
      <c r="Y48" s="47" t="str">
        <f t="shared" ca="1" si="32"/>
        <v>Health Savings</v>
      </c>
      <c r="Z48" s="48">
        <f t="shared" ca="1" si="33"/>
        <v>0</v>
      </c>
      <c r="AA48" s="48">
        <f t="shared" ca="1" si="34"/>
        <v>0</v>
      </c>
      <c r="AB48" s="49" t="str">
        <f t="shared" ca="1" si="16"/>
        <v>-</v>
      </c>
      <c r="AC48" s="48">
        <f t="shared" ca="1" si="35"/>
        <v>0</v>
      </c>
      <c r="AD48" s="48">
        <f t="shared" ca="1" si="36"/>
        <v>0</v>
      </c>
    </row>
    <row r="49" spans="3:30" x14ac:dyDescent="0.3">
      <c r="C49" s="42" cm="1">
        <f t="array" ref="C49">IF(C48=-1, -1,
  IF(C48&lt;income_max_row, C48+1,
    IF(C48=income_max_row, income_total_row,
      IF(C48=income_total_row, "/1",
        IF(C48="/1", expenditure_header_row,
          IF(C48&lt;expenditure_max_row, C48+1,
            IF(C48=expenditure_max_row, expenditure_total_row,
              IF(C48=expenditure_total_row, "/2",
                IF(C48="/2", savings_header_row,
                  IF(C48&lt;savings_max_row, C48+1,
                    IF(C48=savings_max_row, savings_total_row, -1)))))))))))</f>
        <v>53</v>
      </c>
      <c r="D49" s="43">
        <f t="shared" si="19"/>
        <v>43</v>
      </c>
      <c r="E49" s="42" cm="1">
        <f t="array" ref="E49">1*OR(row_id=income_header_row, row_id=expenditure_header_row, row_id=savings_header_row)</f>
        <v>0</v>
      </c>
      <c r="F49" s="3">
        <f t="shared" si="20"/>
        <v>1</v>
      </c>
      <c r="G49" s="3" cm="1">
        <f t="array" ref="G49">1*OR(row_id=income_total_row, row_id=expenditure_total_row, row_id=savings_total_row)</f>
        <v>0</v>
      </c>
      <c r="H49" s="43">
        <f t="shared" si="21"/>
        <v>0</v>
      </c>
      <c r="I49" s="42" t="str" cm="1">
        <f t="array" ref="I49">IFERROR(INDEX('Budget Plannning'!$B:$B, header_row_id), " ")</f>
        <v>Savings</v>
      </c>
      <c r="J49" s="3" t="str" cm="1">
        <f t="array" ref="J49">IFERROR(INDEX('Budget Plannning'!$B:$B, row_id), " ")</f>
        <v>Major Purchases</v>
      </c>
      <c r="K49" s="44" cm="1">
        <f t="array" ref="K49">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49" s="45" cm="1">
        <f t="array" ref="L49">IF(OR(is_header, is_empty), "",
  INDEX('Budget Plannning'!$D:$GB, row_id,
    MATCH(IF(selected_period="Total Year", selected_year, DATE(selected_year, selected_period, 1)), 'Budget Plannning'!$D$7:$GB$7, 0)
  )
)</f>
        <v>0</v>
      </c>
      <c r="M49" s="42" cm="1">
        <f t="array" ref="M49">IF(is_category,
  IF(header_row_id=income_header_row, MATCH(income_min_row, $C:$C, 0),
    IF(header_row_id=expenditure_header_row, MATCH(expenditure_min_row, $C:$C, 0),
      IF(header_row_id=savings_header_row, MATCH(savings_min_row, $C:$C, 0), ""))), "")</f>
        <v>40</v>
      </c>
      <c r="N49" s="43" cm="1">
        <f t="array" ref="N49">IF(is_category,
  IF(header_row_id=income_header_row, MATCH(income_max_row, $C:$C, 0),
    IF(header_row_id=expenditure_header_row, MATCH(expenditure_max_row, $C:$C, 0),
      IF(header_row_id=savings_header_row, MATCH(savings_max_row, $C:$C, 0), ""))), "")</f>
        <v>52</v>
      </c>
      <c r="O49" s="42" t="str">
        <f t="shared" si="22"/>
        <v>$K$40:$K$52</v>
      </c>
      <c r="P49" s="3">
        <f t="shared" ca="1" si="23"/>
        <v>3</v>
      </c>
      <c r="Q49" s="3" t="str">
        <f t="shared" si="24"/>
        <v>$L$40:$L$52</v>
      </c>
      <c r="R49" s="43">
        <f t="shared" ca="1" si="25"/>
        <v>6</v>
      </c>
      <c r="S49" s="42">
        <f t="shared" ca="1" si="26"/>
        <v>36</v>
      </c>
      <c r="T49" s="3" t="str">
        <f t="shared" si="27"/>
        <v>$S$40:$S$52</v>
      </c>
      <c r="U49" s="3">
        <f t="shared" ca="1" si="28"/>
        <v>6</v>
      </c>
      <c r="V49" s="3" t="str">
        <f t="shared" si="29"/>
        <v>$U$40:$U$49</v>
      </c>
      <c r="W49" s="43">
        <f t="shared" ca="1" si="30"/>
        <v>10</v>
      </c>
      <c r="X49" s="46">
        <f t="shared" ca="1" si="31"/>
        <v>53</v>
      </c>
      <c r="Y49" s="47" t="str">
        <f t="shared" ca="1" si="32"/>
        <v>Major Purchases</v>
      </c>
      <c r="Z49" s="48">
        <f t="shared" ca="1" si="33"/>
        <v>0</v>
      </c>
      <c r="AA49" s="48">
        <f t="shared" ca="1" si="34"/>
        <v>0</v>
      </c>
      <c r="AB49" s="49" t="str">
        <f t="shared" ca="1" si="16"/>
        <v>-</v>
      </c>
      <c r="AC49" s="48">
        <f t="shared" ca="1" si="35"/>
        <v>0</v>
      </c>
      <c r="AD49" s="48">
        <f t="shared" ca="1" si="36"/>
        <v>0</v>
      </c>
    </row>
    <row r="50" spans="3:30" x14ac:dyDescent="0.3">
      <c r="C50" s="42" cm="1">
        <f t="array" ref="C50">IF(C49=-1, -1,
  IF(C49&lt;income_max_row, C49+1,
    IF(C49=income_max_row, income_total_row,
      IF(C49=income_total_row, "/1",
        IF(C49="/1", expenditure_header_row,
          IF(C49&lt;expenditure_max_row, C49+1,
            IF(C49=expenditure_max_row, expenditure_total_row,
              IF(C49=expenditure_total_row, "/2",
                IF(C49="/2", savings_header_row,
                  IF(C49&lt;savings_max_row, C49+1,
                    IF(C49=savings_max_row, savings_total_row, -1)))))))))))</f>
        <v>54</v>
      </c>
      <c r="D50" s="43">
        <f t="shared" si="19"/>
        <v>43</v>
      </c>
      <c r="E50" s="42" cm="1">
        <f t="array" ref="E50">1*OR(row_id=income_header_row, row_id=expenditure_header_row, row_id=savings_header_row)</f>
        <v>0</v>
      </c>
      <c r="F50" s="3">
        <f t="shared" si="20"/>
        <v>1</v>
      </c>
      <c r="G50" s="3" cm="1">
        <f t="array" ref="G50">1*OR(row_id=income_total_row, row_id=expenditure_total_row, row_id=savings_total_row)</f>
        <v>0</v>
      </c>
      <c r="H50" s="43">
        <f t="shared" si="21"/>
        <v>0</v>
      </c>
      <c r="I50" s="42" t="str" cm="1">
        <f t="array" ref="I50">IFERROR(INDEX('Budget Plannning'!$B:$B, header_row_id), " ")</f>
        <v>Savings</v>
      </c>
      <c r="J50" s="3" t="str" cm="1">
        <f t="array" ref="J50">IFERROR(INDEX('Budget Plannning'!$B:$B, row_id), " ")</f>
        <v>Vacation Fund</v>
      </c>
      <c r="K50" s="44" cm="1">
        <f t="array" ref="K50">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50" s="45" cm="1">
        <f t="array" ref="L50">IF(OR(is_header, is_empty), "",
  INDEX('Budget Plannning'!$D:$GB, row_id,
    MATCH(IF(selected_period="Total Year", selected_year, DATE(selected_year, selected_period, 1)), 'Budget Plannning'!$D$7:$GB$7, 0)
  )
)</f>
        <v>0</v>
      </c>
      <c r="M50" s="42" cm="1">
        <f t="array" ref="M50">IF(is_category,
  IF(header_row_id=income_header_row, MATCH(income_min_row, $C:$C, 0),
    IF(header_row_id=expenditure_header_row, MATCH(expenditure_min_row, $C:$C, 0),
      IF(header_row_id=savings_header_row, MATCH(savings_min_row, $C:$C, 0), ""))), "")</f>
        <v>40</v>
      </c>
      <c r="N50" s="43" cm="1">
        <f t="array" ref="N50">IF(is_category,
  IF(header_row_id=income_header_row, MATCH(income_max_row, $C:$C, 0),
    IF(header_row_id=expenditure_header_row, MATCH(expenditure_max_row, $C:$C, 0),
      IF(header_row_id=savings_header_row, MATCH(savings_max_row, $C:$C, 0), ""))), "")</f>
        <v>52</v>
      </c>
      <c r="O50" s="42" t="str">
        <f t="shared" si="22"/>
        <v>$K$40:$K$52</v>
      </c>
      <c r="P50" s="3">
        <f t="shared" ca="1" si="23"/>
        <v>3</v>
      </c>
      <c r="Q50" s="3" t="str">
        <f t="shared" si="24"/>
        <v>$L$40:$L$52</v>
      </c>
      <c r="R50" s="43">
        <f t="shared" ca="1" si="25"/>
        <v>6</v>
      </c>
      <c r="S50" s="42">
        <f t="shared" ca="1" si="26"/>
        <v>36</v>
      </c>
      <c r="T50" s="3" t="str">
        <f t="shared" si="27"/>
        <v>$S$40:$S$52</v>
      </c>
      <c r="U50" s="3">
        <f t="shared" ca="1" si="28"/>
        <v>6</v>
      </c>
      <c r="V50" s="3" t="str">
        <f t="shared" si="29"/>
        <v>$U$40:$U$50</v>
      </c>
      <c r="W50" s="43">
        <f t="shared" ca="1" si="30"/>
        <v>11</v>
      </c>
      <c r="X50" s="46">
        <f t="shared" ca="1" si="31"/>
        <v>54</v>
      </c>
      <c r="Y50" s="47" t="str">
        <f t="shared" ca="1" si="32"/>
        <v>Vacation Fund</v>
      </c>
      <c r="Z50" s="48">
        <f t="shared" ca="1" si="33"/>
        <v>0</v>
      </c>
      <c r="AA50" s="48">
        <f t="shared" ca="1" si="34"/>
        <v>0</v>
      </c>
      <c r="AB50" s="49" t="str">
        <f t="shared" ca="1" si="16"/>
        <v>-</v>
      </c>
      <c r="AC50" s="48">
        <f t="shared" ca="1" si="35"/>
        <v>0</v>
      </c>
      <c r="AD50" s="48">
        <f t="shared" ca="1" si="36"/>
        <v>0</v>
      </c>
    </row>
    <row r="51" spans="3:30" x14ac:dyDescent="0.3">
      <c r="C51" s="42" cm="1">
        <f t="array" ref="C51">IF(C50=-1, -1,
  IF(C50&lt;income_max_row, C50+1,
    IF(C50=income_max_row, income_total_row,
      IF(C50=income_total_row, "/1",
        IF(C50="/1", expenditure_header_row,
          IF(C50&lt;expenditure_max_row, C50+1,
            IF(C50=expenditure_max_row, expenditure_total_row,
              IF(C50=expenditure_total_row, "/2",
                IF(C50="/2", savings_header_row,
                  IF(C50&lt;savings_max_row, C50+1,
                    IF(C50=savings_max_row, savings_total_row, -1)))))))))))</f>
        <v>55</v>
      </c>
      <c r="D51" s="43">
        <f t="shared" si="19"/>
        <v>43</v>
      </c>
      <c r="E51" s="42" cm="1">
        <f t="array" ref="E51">1*OR(row_id=income_header_row, row_id=expenditure_header_row, row_id=savings_header_row)</f>
        <v>0</v>
      </c>
      <c r="F51" s="3">
        <f t="shared" si="20"/>
        <v>1</v>
      </c>
      <c r="G51" s="3" cm="1">
        <f t="array" ref="G51">1*OR(row_id=income_total_row, row_id=expenditure_total_row, row_id=savings_total_row)</f>
        <v>0</v>
      </c>
      <c r="H51" s="43">
        <f t="shared" si="21"/>
        <v>0</v>
      </c>
      <c r="I51" s="42" t="str" cm="1">
        <f t="array" ref="I51">IFERROR(INDEX('Budget Plannning'!$B:$B, header_row_id), " ")</f>
        <v>Savings</v>
      </c>
      <c r="J51" s="3" t="str" cm="1">
        <f t="array" ref="J51">IFERROR(INDEX('Budget Plannning'!$B:$B, row_id), " ")</f>
        <v>Home Improvement</v>
      </c>
      <c r="K51" s="44" cm="1">
        <f t="array" ref="K51">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51" s="45" cm="1">
        <f t="array" ref="L51">IF(OR(is_header, is_empty), "",
  INDEX('Budget Plannning'!$D:$GB, row_id,
    MATCH(IF(selected_period="Total Year", selected_year, DATE(selected_year, selected_period, 1)), 'Budget Plannning'!$D$7:$GB$7, 0)
  )
)</f>
        <v>0</v>
      </c>
      <c r="M51" s="42" cm="1">
        <f t="array" ref="M51">IF(is_category,
  IF(header_row_id=income_header_row, MATCH(income_min_row, $C:$C, 0),
    IF(header_row_id=expenditure_header_row, MATCH(expenditure_min_row, $C:$C, 0),
      IF(header_row_id=savings_header_row, MATCH(savings_min_row, $C:$C, 0), ""))), "")</f>
        <v>40</v>
      </c>
      <c r="N51" s="43" cm="1">
        <f t="array" ref="N51">IF(is_category,
  IF(header_row_id=income_header_row, MATCH(income_max_row, $C:$C, 0),
    IF(header_row_id=expenditure_header_row, MATCH(expenditure_max_row, $C:$C, 0),
      IF(header_row_id=savings_header_row, MATCH(savings_max_row, $C:$C, 0), ""))), "")</f>
        <v>52</v>
      </c>
      <c r="O51" s="42" t="str">
        <f t="shared" si="22"/>
        <v>$K$40:$K$52</v>
      </c>
      <c r="P51" s="3">
        <f t="shared" ca="1" si="23"/>
        <v>3</v>
      </c>
      <c r="Q51" s="3" t="str">
        <f t="shared" si="24"/>
        <v>$L$40:$L$52</v>
      </c>
      <c r="R51" s="43">
        <f t="shared" ca="1" si="25"/>
        <v>6</v>
      </c>
      <c r="S51" s="42">
        <f t="shared" ca="1" si="26"/>
        <v>36</v>
      </c>
      <c r="T51" s="3" t="str">
        <f t="shared" si="27"/>
        <v>$S$40:$S$52</v>
      </c>
      <c r="U51" s="3">
        <f t="shared" ca="1" si="28"/>
        <v>6</v>
      </c>
      <c r="V51" s="3" t="str">
        <f t="shared" si="29"/>
        <v>$U$40:$U$51</v>
      </c>
      <c r="W51" s="43">
        <f t="shared" ca="1" si="30"/>
        <v>12</v>
      </c>
      <c r="X51" s="46">
        <f t="shared" ca="1" si="31"/>
        <v>55</v>
      </c>
      <c r="Y51" s="47" t="str">
        <f t="shared" ca="1" si="32"/>
        <v>Home Improvement</v>
      </c>
      <c r="Z51" s="48">
        <f t="shared" ca="1" si="33"/>
        <v>0</v>
      </c>
      <c r="AA51" s="48">
        <f t="shared" ca="1" si="34"/>
        <v>0</v>
      </c>
      <c r="AB51" s="49" t="str">
        <f t="shared" ca="1" si="16"/>
        <v>-</v>
      </c>
      <c r="AC51" s="48">
        <f t="shared" ca="1" si="35"/>
        <v>0</v>
      </c>
      <c r="AD51" s="48">
        <f t="shared" ca="1" si="36"/>
        <v>0</v>
      </c>
    </row>
    <row r="52" spans="3:30" x14ac:dyDescent="0.3">
      <c r="C52" s="42" cm="1">
        <f t="array" ref="C52">IF(C51=-1, -1,
  IF(C51&lt;income_max_row, C51+1,
    IF(C51=income_max_row, income_total_row,
      IF(C51=income_total_row, "/1",
        IF(C51="/1", expenditure_header_row,
          IF(C51&lt;expenditure_max_row, C51+1,
            IF(C51=expenditure_max_row, expenditure_total_row,
              IF(C51=expenditure_total_row, "/2",
                IF(C51="/2", savings_header_row,
                  IF(C51&lt;savings_max_row, C51+1,
                    IF(C51=savings_max_row, savings_total_row, -1)))))))))))</f>
        <v>56</v>
      </c>
      <c r="D52" s="43">
        <f t="shared" si="19"/>
        <v>43</v>
      </c>
      <c r="E52" s="42" cm="1">
        <f t="array" ref="E52">1*OR(row_id=income_header_row, row_id=expenditure_header_row, row_id=savings_header_row)</f>
        <v>0</v>
      </c>
      <c r="F52" s="3">
        <f t="shared" si="20"/>
        <v>1</v>
      </c>
      <c r="G52" s="3" cm="1">
        <f t="array" ref="G52">1*OR(row_id=income_total_row, row_id=expenditure_total_row, row_id=savings_total_row)</f>
        <v>0</v>
      </c>
      <c r="H52" s="43">
        <f t="shared" si="21"/>
        <v>0</v>
      </c>
      <c r="I52" s="42" t="str" cm="1">
        <f t="array" ref="I52">IFERROR(INDEX('Budget Plannning'!$B:$B, header_row_id), " ")</f>
        <v>Savings</v>
      </c>
      <c r="J52" s="3" t="str" cm="1">
        <f t="array" ref="J52">IFERROR(INDEX('Budget Plannning'!$B:$B, row_id), " ")</f>
        <v>Miscellaneous Savings</v>
      </c>
      <c r="K52" s="44" cm="1">
        <f t="array" ref="K52">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0</v>
      </c>
      <c r="L52" s="45" cm="1">
        <f t="array" ref="L52">IF(OR(is_header, is_empty), "",
  INDEX('Budget Plannning'!$D:$GB, row_id,
    MATCH(IF(selected_period="Total Year", selected_year, DATE(selected_year, selected_period, 1)), 'Budget Plannning'!$D$7:$GB$7, 0)
  )
)</f>
        <v>0</v>
      </c>
      <c r="M52" s="42" cm="1">
        <f t="array" ref="M52">IF(is_category,
  IF(header_row_id=income_header_row, MATCH(income_min_row, $C:$C, 0),
    IF(header_row_id=expenditure_header_row, MATCH(expenditure_min_row, $C:$C, 0),
      IF(header_row_id=savings_header_row, MATCH(savings_min_row, $C:$C, 0), ""))), "")</f>
        <v>40</v>
      </c>
      <c r="N52" s="43" cm="1">
        <f t="array" ref="N52">IF(is_category,
  IF(header_row_id=income_header_row, MATCH(income_max_row, $C:$C, 0),
    IF(header_row_id=expenditure_header_row, MATCH(expenditure_max_row, $C:$C, 0),
      IF(header_row_id=savings_header_row, MATCH(savings_max_row, $C:$C, 0), ""))), "")</f>
        <v>52</v>
      </c>
      <c r="O52" s="42" t="str">
        <f t="shared" si="22"/>
        <v>$K$40:$K$52</v>
      </c>
      <c r="P52" s="3">
        <f t="shared" ca="1" si="23"/>
        <v>3</v>
      </c>
      <c r="Q52" s="3" t="str">
        <f t="shared" si="24"/>
        <v>$L$40:$L$52</v>
      </c>
      <c r="R52" s="43">
        <f t="shared" ca="1" si="25"/>
        <v>6</v>
      </c>
      <c r="S52" s="42">
        <f t="shared" ca="1" si="26"/>
        <v>36</v>
      </c>
      <c r="T52" s="3" t="str">
        <f t="shared" si="27"/>
        <v>$S$40:$S$52</v>
      </c>
      <c r="U52" s="3">
        <f t="shared" ca="1" si="28"/>
        <v>6</v>
      </c>
      <c r="V52" s="3" t="str">
        <f t="shared" si="29"/>
        <v>$U$40:$U$52</v>
      </c>
      <c r="W52" s="43">
        <f t="shared" ca="1" si="30"/>
        <v>13</v>
      </c>
      <c r="X52" s="46">
        <f t="shared" ca="1" si="31"/>
        <v>56</v>
      </c>
      <c r="Y52" s="47" t="str">
        <f t="shared" ca="1" si="32"/>
        <v>Miscellaneous Savings</v>
      </c>
      <c r="Z52" s="48">
        <f t="shared" ca="1" si="33"/>
        <v>0</v>
      </c>
      <c r="AA52" s="48">
        <f t="shared" ca="1" si="34"/>
        <v>0</v>
      </c>
      <c r="AB52" s="49" t="str">
        <f t="shared" ca="1" si="16"/>
        <v>-</v>
      </c>
      <c r="AC52" s="48">
        <f t="shared" ca="1" si="35"/>
        <v>0</v>
      </c>
      <c r="AD52" s="48">
        <f t="shared" ca="1" si="36"/>
        <v>0</v>
      </c>
    </row>
    <row r="53" spans="3:30" x14ac:dyDescent="0.3">
      <c r="C53" s="42" cm="1">
        <f t="array" ref="C53">IF(C52=-1, -1,
  IF(C52&lt;income_max_row, C52+1,
    IF(C52=income_max_row, income_total_row,
      IF(C52=income_total_row, "/1",
        IF(C52="/1", expenditure_header_row,
          IF(C52&lt;expenditure_max_row, C52+1,
            IF(C52=expenditure_max_row, expenditure_total_row,
              IF(C52=expenditure_total_row, "/2",
                IF(C52="/2", savings_header_row,
                  IF(C52&lt;savings_max_row, C52+1,
                    IF(C52=savings_max_row, savings_total_row, -1)))))))))))</f>
        <v>64</v>
      </c>
      <c r="D53" s="43">
        <f t="shared" si="19"/>
        <v>43</v>
      </c>
      <c r="E53" s="42" cm="1">
        <f t="array" ref="E53">1*OR(row_id=income_header_row, row_id=expenditure_header_row, row_id=savings_header_row)</f>
        <v>0</v>
      </c>
      <c r="F53" s="3">
        <f t="shared" si="20"/>
        <v>0</v>
      </c>
      <c r="G53" s="3" cm="1">
        <f t="array" ref="G53">1*OR(row_id=income_total_row, row_id=expenditure_total_row, row_id=savings_total_row)</f>
        <v>1</v>
      </c>
      <c r="H53" s="43">
        <f t="shared" si="21"/>
        <v>0</v>
      </c>
      <c r="I53" s="42" t="str" cm="1">
        <f t="array" ref="I53">IFERROR(INDEX('Budget Plannning'!$B:$B, header_row_id), " ")</f>
        <v>Savings</v>
      </c>
      <c r="J53" s="3" t="str" cm="1">
        <f t="array" ref="J53">IFERROR(INDEX('Budget Plannning'!$B:$B, row_id), " ")</f>
        <v>Total</v>
      </c>
      <c r="K53" s="44" cm="1">
        <f t="array" ref="K53">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45000</v>
      </c>
      <c r="L53" s="45" cm="1">
        <f t="array" aca="1" ref="L53" ca="1">IF(OR(is_header, is_empty), "",
  INDEX('Budget Plannning'!$D:$GB, row_id,
    MATCH(IF(selected_period="Total Year", selected_year, DATE(selected_year, selected_period, 1)), 'Budget Plannning'!$D$7:$GB$7, 0)
  )
)</f>
        <v>216000</v>
      </c>
      <c r="M53" s="42" t="str" cm="1">
        <f t="array" ref="M53">IF(is_category,
  IF(header_row_id=income_header_row, MATCH(income_min_row, $C:$C, 0),
    IF(header_row_id=expenditure_header_row, MATCH(expenditure_min_row, $C:$C, 0),
      IF(header_row_id=savings_header_row, MATCH(savings_min_row, $C:$C, 0), ""))), "")</f>
        <v/>
      </c>
      <c r="N53" s="43" t="str" cm="1">
        <f t="array" ref="N53">IF(is_category,
  IF(header_row_id=income_header_row, MATCH(income_max_row, $C:$C, 0),
    IF(header_row_id=expenditure_header_row, MATCH(expenditure_max_row, $C:$C, 0),
      IF(header_row_id=savings_header_row, MATCH(savings_max_row, $C:$C, 0), ""))), "")</f>
        <v/>
      </c>
      <c r="O53" s="42" t="str">
        <f t="shared" si="22"/>
        <v/>
      </c>
      <c r="P53" s="3" t="str">
        <f t="shared" ca="1" si="23"/>
        <v/>
      </c>
      <c r="Q53" s="3" t="str">
        <f t="shared" si="24"/>
        <v/>
      </c>
      <c r="R53" s="43" t="str">
        <f t="shared" ca="1" si="25"/>
        <v/>
      </c>
      <c r="S53" s="42" t="str">
        <f t="shared" si="26"/>
        <v/>
      </c>
      <c r="T53" s="3" t="str">
        <f t="shared" si="27"/>
        <v/>
      </c>
      <c r="U53" s="3" t="str">
        <f t="shared" ca="1" si="28"/>
        <v/>
      </c>
      <c r="V53" s="3" t="str">
        <f t="shared" si="29"/>
        <v/>
      </c>
      <c r="W53" s="43" t="str">
        <f t="shared" ca="1" si="30"/>
        <v/>
      </c>
      <c r="X53" s="46">
        <f t="shared" si="31"/>
        <v>64</v>
      </c>
      <c r="Y53" s="47" t="str">
        <f t="shared" ca="1" si="32"/>
        <v>Total</v>
      </c>
      <c r="Z53" s="48">
        <f t="shared" ca="1" si="33"/>
        <v>45000</v>
      </c>
      <c r="AA53" s="48">
        <f t="shared" ca="1" si="34"/>
        <v>216000</v>
      </c>
      <c r="AB53" s="49">
        <f t="shared" ca="1" si="16"/>
        <v>0.20833333333333334</v>
      </c>
      <c r="AC53" s="48">
        <f t="shared" ca="1" si="35"/>
        <v>171000</v>
      </c>
      <c r="AD53" s="48">
        <f t="shared" ca="1" si="36"/>
        <v>0</v>
      </c>
    </row>
    <row r="54" spans="3:30" x14ac:dyDescent="0.3">
      <c r="C54" s="42" cm="1">
        <f t="array" ref="C54">IF(C53=-1, -1,
  IF(C53&lt;income_max_row, C53+1,
    IF(C53=income_max_row, income_total_row,
      IF(C53=income_total_row, "/1",
        IF(C53="/1", expenditure_header_row,
          IF(C53&lt;expenditure_max_row, C53+1,
            IF(C53=expenditure_max_row, expenditure_total_row,
              IF(C53=expenditure_total_row, "/2",
                IF(C53="/2", savings_header_row,
                  IF(C53&lt;savings_max_row, C53+1,
                    IF(C53=savings_max_row, savings_total_row, -1)))))))))))</f>
        <v>-1</v>
      </c>
      <c r="D54" s="43">
        <f t="shared" si="19"/>
        <v>-1</v>
      </c>
      <c r="E54" s="42" cm="1">
        <f t="array" ref="E54">1*OR(row_id=income_header_row, row_id=expenditure_header_row, row_id=savings_header_row)</f>
        <v>0</v>
      </c>
      <c r="F54" s="3">
        <f t="shared" si="20"/>
        <v>0</v>
      </c>
      <c r="G54" s="3" cm="1">
        <f t="array" ref="G54">1*OR(row_id=income_total_row, row_id=expenditure_total_row, row_id=savings_total_row)</f>
        <v>0</v>
      </c>
      <c r="H54" s="43">
        <f t="shared" si="21"/>
        <v>1</v>
      </c>
      <c r="I54" s="42" t="str" cm="1">
        <f t="array" ref="I54">IFERROR(INDEX('Budget Plannning'!$B:$B, header_row_id), " ")</f>
        <v xml:space="preserve"> </v>
      </c>
      <c r="J54" s="3" t="str" cm="1">
        <f t="array" ref="J54">IFERROR(INDEX('Budget Plannning'!$B:$B, row_id), " ")</f>
        <v xml:space="preserve"> </v>
      </c>
      <c r="K54" s="44" t="str" cm="1">
        <f t="array" ref="K54">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4" s="45" t="str" cm="1">
        <f t="array" ref="L54">IF(OR(is_header, is_empty), "",
  INDEX('Budget Plannning'!$D:$GB, row_id,
    MATCH(IF(selected_period="Total Year", selected_year, DATE(selected_year, selected_period, 1)), 'Budget Plannning'!$D$7:$GB$7, 0)
  )
)</f>
        <v/>
      </c>
      <c r="M54" s="42" t="str" cm="1">
        <f t="array" ref="M54">IF(is_category,
  IF(header_row_id=income_header_row, MATCH(income_min_row, $C:$C, 0),
    IF(header_row_id=expenditure_header_row, MATCH(expenditure_min_row, $C:$C, 0),
      IF(header_row_id=savings_header_row, MATCH(savings_min_row, $C:$C, 0), ""))), "")</f>
        <v/>
      </c>
      <c r="N54" s="43" t="str" cm="1">
        <f t="array" ref="N54">IF(is_category,
  IF(header_row_id=income_header_row, MATCH(income_max_row, $C:$C, 0),
    IF(header_row_id=expenditure_header_row, MATCH(expenditure_max_row, $C:$C, 0),
      IF(header_row_id=savings_header_row, MATCH(savings_max_row, $C:$C, 0), ""))), "")</f>
        <v/>
      </c>
      <c r="O54" s="42" t="str">
        <f t="shared" si="22"/>
        <v/>
      </c>
      <c r="P54" s="3" t="str">
        <f t="shared" ca="1" si="23"/>
        <v/>
      </c>
      <c r="Q54" s="3" t="str">
        <f t="shared" si="24"/>
        <v/>
      </c>
      <c r="R54" s="43" t="str">
        <f t="shared" ca="1" si="25"/>
        <v/>
      </c>
      <c r="S54" s="42" t="str">
        <f t="shared" si="26"/>
        <v/>
      </c>
      <c r="T54" s="3" t="str">
        <f t="shared" si="27"/>
        <v/>
      </c>
      <c r="U54" s="3" t="str">
        <f t="shared" ca="1" si="28"/>
        <v/>
      </c>
      <c r="V54" s="3" t="str">
        <f t="shared" si="29"/>
        <v/>
      </c>
      <c r="W54" s="43" t="str">
        <f t="shared" ca="1" si="30"/>
        <v/>
      </c>
      <c r="X54" s="46">
        <f t="shared" si="31"/>
        <v>-1</v>
      </c>
      <c r="Y54" s="47" t="str">
        <f t="shared" si="32"/>
        <v/>
      </c>
      <c r="Z54" s="48" t="str">
        <f t="shared" si="33"/>
        <v/>
      </c>
      <c r="AA54" s="48" t="str">
        <f t="shared" si="34"/>
        <v/>
      </c>
      <c r="AB54" s="49" t="str">
        <f t="shared" si="16"/>
        <v/>
      </c>
      <c r="AC54" s="48" t="str">
        <f t="shared" si="35"/>
        <v/>
      </c>
      <c r="AD54" s="48" t="str">
        <f t="shared" si="36"/>
        <v/>
      </c>
    </row>
    <row r="55" spans="3:30" x14ac:dyDescent="0.3">
      <c r="C55" s="42" cm="1">
        <f t="array" ref="C55">IF(C54=-1, -1,
  IF(C54&lt;income_max_row, C54+1,
    IF(C54=income_max_row, income_total_row,
      IF(C54=income_total_row, "/1",
        IF(C54="/1", expenditure_header_row,
          IF(C54&lt;expenditure_max_row, C54+1,
            IF(C54=expenditure_max_row, expenditure_total_row,
              IF(C54=expenditure_total_row, "/2",
                IF(C54="/2", savings_header_row,
                  IF(C54&lt;savings_max_row, C54+1,
                    IF(C54=savings_max_row, savings_total_row, -1)))))))))))</f>
        <v>-1</v>
      </c>
      <c r="D55" s="43">
        <f t="shared" si="19"/>
        <v>-1</v>
      </c>
      <c r="E55" s="42" cm="1">
        <f t="array" ref="E55">1*OR(row_id=income_header_row, row_id=expenditure_header_row, row_id=savings_header_row)</f>
        <v>0</v>
      </c>
      <c r="F55" s="3">
        <f t="shared" si="20"/>
        <v>0</v>
      </c>
      <c r="G55" s="3" cm="1">
        <f t="array" ref="G55">1*OR(row_id=income_total_row, row_id=expenditure_total_row, row_id=savings_total_row)</f>
        <v>0</v>
      </c>
      <c r="H55" s="43">
        <f t="shared" si="21"/>
        <v>1</v>
      </c>
      <c r="I55" s="42" t="str" cm="1">
        <f t="array" ref="I55">IFERROR(INDEX('Budget Plannning'!$B:$B, header_row_id), " ")</f>
        <v xml:space="preserve"> </v>
      </c>
      <c r="J55" s="3" t="str" cm="1">
        <f t="array" ref="J55">IFERROR(INDEX('Budget Plannning'!$B:$B, row_id), " ")</f>
        <v xml:space="preserve"> </v>
      </c>
      <c r="K55" s="44" t="str" cm="1">
        <f t="array" ref="K55">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5" s="45" t="str" cm="1">
        <f t="array" ref="L55">IF(OR(is_header, is_empty), "",
  INDEX('Budget Plannning'!$D:$GB, row_id,
    MATCH(IF(selected_period="Total Year", selected_year, DATE(selected_year, selected_period, 1)), 'Budget Plannning'!$D$7:$GB$7, 0)
  )
)</f>
        <v/>
      </c>
      <c r="M55" s="42" t="str" cm="1">
        <f t="array" ref="M55">IF(is_category,
  IF(header_row_id=income_header_row, MATCH(income_min_row, $C:$C, 0),
    IF(header_row_id=expenditure_header_row, MATCH(expenditure_min_row, $C:$C, 0),
      IF(header_row_id=savings_header_row, MATCH(savings_min_row, $C:$C, 0), ""))), "")</f>
        <v/>
      </c>
      <c r="N55" s="43" t="str" cm="1">
        <f t="array" ref="N55">IF(is_category,
  IF(header_row_id=income_header_row, MATCH(income_max_row, $C:$C, 0),
    IF(header_row_id=expenditure_header_row, MATCH(expenditure_max_row, $C:$C, 0),
      IF(header_row_id=savings_header_row, MATCH(savings_max_row, $C:$C, 0), ""))), "")</f>
        <v/>
      </c>
      <c r="O55" s="42" t="str">
        <f t="shared" si="22"/>
        <v/>
      </c>
      <c r="P55" s="3" t="str">
        <f t="shared" ca="1" si="23"/>
        <v/>
      </c>
      <c r="Q55" s="3" t="str">
        <f t="shared" si="24"/>
        <v/>
      </c>
      <c r="R55" s="43" t="str">
        <f t="shared" ca="1" si="25"/>
        <v/>
      </c>
      <c r="S55" s="42" t="str">
        <f t="shared" si="26"/>
        <v/>
      </c>
      <c r="T55" s="3" t="str">
        <f t="shared" si="27"/>
        <v/>
      </c>
      <c r="U55" s="3" t="str">
        <f t="shared" ca="1" si="28"/>
        <v/>
      </c>
      <c r="V55" s="3" t="str">
        <f t="shared" si="29"/>
        <v/>
      </c>
      <c r="W55" s="43" t="str">
        <f t="shared" ca="1" si="30"/>
        <v/>
      </c>
      <c r="X55" s="46">
        <f t="shared" si="31"/>
        <v>-1</v>
      </c>
      <c r="Y55" s="47" t="str">
        <f t="shared" si="32"/>
        <v/>
      </c>
      <c r="Z55" s="48" t="str">
        <f t="shared" si="33"/>
        <v/>
      </c>
      <c r="AA55" s="48" t="str">
        <f t="shared" si="34"/>
        <v/>
      </c>
      <c r="AB55" s="49" t="str">
        <f t="shared" si="16"/>
        <v/>
      </c>
      <c r="AC55" s="48" t="str">
        <f t="shared" si="35"/>
        <v/>
      </c>
      <c r="AD55" s="48" t="str">
        <f t="shared" si="36"/>
        <v/>
      </c>
    </row>
    <row r="56" spans="3:30" x14ac:dyDescent="0.3">
      <c r="C56" s="42" cm="1">
        <f t="array" ref="C56">IF(C55=-1, -1,
  IF(C55&lt;income_max_row, C55+1,
    IF(C55=income_max_row, income_total_row,
      IF(C55=income_total_row, "/1",
        IF(C55="/1", expenditure_header_row,
          IF(C55&lt;expenditure_max_row, C55+1,
            IF(C55=expenditure_max_row, expenditure_total_row,
              IF(C55=expenditure_total_row, "/2",
                IF(C55="/2", savings_header_row,
                  IF(C55&lt;savings_max_row, C55+1,
                    IF(C55=savings_max_row, savings_total_row, -1)))))))))))</f>
        <v>-1</v>
      </c>
      <c r="D56" s="43">
        <f t="shared" si="19"/>
        <v>-1</v>
      </c>
      <c r="E56" s="42" cm="1">
        <f t="array" ref="E56">1*OR(row_id=income_header_row, row_id=expenditure_header_row, row_id=savings_header_row)</f>
        <v>0</v>
      </c>
      <c r="F56" s="3">
        <f t="shared" si="20"/>
        <v>0</v>
      </c>
      <c r="G56" s="3" cm="1">
        <f t="array" ref="G56">1*OR(row_id=income_total_row, row_id=expenditure_total_row, row_id=savings_total_row)</f>
        <v>0</v>
      </c>
      <c r="H56" s="43">
        <f t="shared" si="21"/>
        <v>1</v>
      </c>
      <c r="I56" s="42" t="str" cm="1">
        <f t="array" ref="I56">IFERROR(INDEX('Budget Plannning'!$B:$B, header_row_id), " ")</f>
        <v xml:space="preserve"> </v>
      </c>
      <c r="J56" s="3" t="str" cm="1">
        <f t="array" ref="J56">IFERROR(INDEX('Budget Plannning'!$B:$B, row_id), " ")</f>
        <v xml:space="preserve"> </v>
      </c>
      <c r="K56" s="44" t="str" cm="1">
        <f t="array" ref="K56">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6" s="45" t="str" cm="1">
        <f t="array" ref="L56">IF(OR(is_header, is_empty), "",
  INDEX('Budget Plannning'!$D:$GB, row_id,
    MATCH(IF(selected_period="Total Year", selected_year, DATE(selected_year, selected_period, 1)), 'Budget Plannning'!$D$7:$GB$7, 0)
  )
)</f>
        <v/>
      </c>
      <c r="M56" s="42" t="str" cm="1">
        <f t="array" ref="M56">IF(is_category,
  IF(header_row_id=income_header_row, MATCH(income_min_row, $C:$C, 0),
    IF(header_row_id=expenditure_header_row, MATCH(expenditure_min_row, $C:$C, 0),
      IF(header_row_id=savings_header_row, MATCH(savings_min_row, $C:$C, 0), ""))), "")</f>
        <v/>
      </c>
      <c r="N56" s="43" t="str" cm="1">
        <f t="array" ref="N56">IF(is_category,
  IF(header_row_id=income_header_row, MATCH(income_max_row, $C:$C, 0),
    IF(header_row_id=expenditure_header_row, MATCH(expenditure_max_row, $C:$C, 0),
      IF(header_row_id=savings_header_row, MATCH(savings_max_row, $C:$C, 0), ""))), "")</f>
        <v/>
      </c>
      <c r="O56" s="42" t="str">
        <f t="shared" si="22"/>
        <v/>
      </c>
      <c r="P56" s="3" t="str">
        <f t="shared" ca="1" si="23"/>
        <v/>
      </c>
      <c r="Q56" s="3" t="str">
        <f t="shared" si="24"/>
        <v/>
      </c>
      <c r="R56" s="43" t="str">
        <f t="shared" ca="1" si="25"/>
        <v/>
      </c>
      <c r="S56" s="42" t="str">
        <f t="shared" si="26"/>
        <v/>
      </c>
      <c r="T56" s="3" t="str">
        <f t="shared" si="27"/>
        <v/>
      </c>
      <c r="U56" s="3" t="str">
        <f t="shared" ca="1" si="28"/>
        <v/>
      </c>
      <c r="V56" s="3" t="str">
        <f t="shared" si="29"/>
        <v/>
      </c>
      <c r="W56" s="43" t="str">
        <f t="shared" ca="1" si="30"/>
        <v/>
      </c>
      <c r="X56" s="46">
        <f t="shared" si="31"/>
        <v>-1</v>
      </c>
      <c r="Y56" s="47" t="str">
        <f t="shared" si="32"/>
        <v/>
      </c>
      <c r="Z56" s="48" t="str">
        <f t="shared" si="33"/>
        <v/>
      </c>
      <c r="AA56" s="48" t="str">
        <f t="shared" si="34"/>
        <v/>
      </c>
      <c r="AB56" s="49" t="str">
        <f t="shared" si="16"/>
        <v/>
      </c>
      <c r="AC56" s="48" t="str">
        <f t="shared" si="35"/>
        <v/>
      </c>
      <c r="AD56" s="48" t="str">
        <f t="shared" si="36"/>
        <v/>
      </c>
    </row>
    <row r="57" spans="3:30" x14ac:dyDescent="0.3">
      <c r="C57" s="42" cm="1">
        <f t="array" ref="C57">IF(C56=-1, -1,
  IF(C56&lt;income_max_row, C56+1,
    IF(C56=income_max_row, income_total_row,
      IF(C56=income_total_row, "/1",
        IF(C56="/1", expenditure_header_row,
          IF(C56&lt;expenditure_max_row, C56+1,
            IF(C56=expenditure_max_row, expenditure_total_row,
              IF(C56=expenditure_total_row, "/2",
                IF(C56="/2", savings_header_row,
                  IF(C56&lt;savings_max_row, C56+1,
                    IF(C56=savings_max_row, savings_total_row, -1)))))))))))</f>
        <v>-1</v>
      </c>
      <c r="D57" s="43">
        <f t="shared" si="19"/>
        <v>-1</v>
      </c>
      <c r="E57" s="42" cm="1">
        <f t="array" ref="E57">1*OR(row_id=income_header_row, row_id=expenditure_header_row, row_id=savings_header_row)</f>
        <v>0</v>
      </c>
      <c r="F57" s="3">
        <f t="shared" si="20"/>
        <v>0</v>
      </c>
      <c r="G57" s="3" cm="1">
        <f t="array" ref="G57">1*OR(row_id=income_total_row, row_id=expenditure_total_row, row_id=savings_total_row)</f>
        <v>0</v>
      </c>
      <c r="H57" s="43">
        <f t="shared" si="21"/>
        <v>1</v>
      </c>
      <c r="I57" s="42" t="str" cm="1">
        <f t="array" ref="I57">IFERROR(INDEX('Budget Plannning'!$B:$B, header_row_id), " ")</f>
        <v xml:space="preserve"> </v>
      </c>
      <c r="J57" s="3" t="str" cm="1">
        <f t="array" ref="J57">IFERROR(INDEX('Budget Plannning'!$B:$B, row_id), " ")</f>
        <v xml:space="preserve"> </v>
      </c>
      <c r="K57" s="44" t="str" cm="1">
        <f t="array" ref="K57">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7" s="45" t="str" cm="1">
        <f t="array" ref="L57">IF(OR(is_header, is_empty), "",
  INDEX('Budget Plannning'!$D:$GB, row_id,
    MATCH(IF(selected_period="Total Year", selected_year, DATE(selected_year, selected_period, 1)), 'Budget Plannning'!$D$7:$GB$7, 0)
  )
)</f>
        <v/>
      </c>
      <c r="M57" s="42" t="str" cm="1">
        <f t="array" ref="M57">IF(is_category,
  IF(header_row_id=income_header_row, MATCH(income_min_row, $C:$C, 0),
    IF(header_row_id=expenditure_header_row, MATCH(expenditure_min_row, $C:$C, 0),
      IF(header_row_id=savings_header_row, MATCH(savings_min_row, $C:$C, 0), ""))), "")</f>
        <v/>
      </c>
      <c r="N57" s="43" t="str" cm="1">
        <f t="array" ref="N57">IF(is_category,
  IF(header_row_id=income_header_row, MATCH(income_max_row, $C:$C, 0),
    IF(header_row_id=expenditure_header_row, MATCH(expenditure_max_row, $C:$C, 0),
      IF(header_row_id=savings_header_row, MATCH(savings_max_row, $C:$C, 0), ""))), "")</f>
        <v/>
      </c>
      <c r="O57" s="42" t="str">
        <f t="shared" si="22"/>
        <v/>
      </c>
      <c r="P57" s="3" t="str">
        <f t="shared" ca="1" si="23"/>
        <v/>
      </c>
      <c r="Q57" s="3" t="str">
        <f t="shared" si="24"/>
        <v/>
      </c>
      <c r="R57" s="43" t="str">
        <f t="shared" ca="1" si="25"/>
        <v/>
      </c>
      <c r="S57" s="42" t="str">
        <f t="shared" si="26"/>
        <v/>
      </c>
      <c r="T57" s="3" t="str">
        <f t="shared" si="27"/>
        <v/>
      </c>
      <c r="U57" s="3" t="str">
        <f t="shared" ca="1" si="28"/>
        <v/>
      </c>
      <c r="V57" s="3" t="str">
        <f t="shared" si="29"/>
        <v/>
      </c>
      <c r="W57" s="43" t="str">
        <f t="shared" ca="1" si="30"/>
        <v/>
      </c>
      <c r="X57" s="46">
        <f t="shared" si="31"/>
        <v>-1</v>
      </c>
      <c r="Y57" s="47" t="str">
        <f t="shared" si="32"/>
        <v/>
      </c>
      <c r="Z57" s="48" t="str">
        <f t="shared" si="33"/>
        <v/>
      </c>
      <c r="AA57" s="48" t="str">
        <f t="shared" si="34"/>
        <v/>
      </c>
      <c r="AB57" s="49" t="str">
        <f t="shared" si="16"/>
        <v/>
      </c>
      <c r="AC57" s="48" t="str">
        <f t="shared" si="35"/>
        <v/>
      </c>
      <c r="AD57" s="48" t="str">
        <f t="shared" si="36"/>
        <v/>
      </c>
    </row>
    <row r="58" spans="3:30" x14ac:dyDescent="0.3">
      <c r="C58" s="42" cm="1">
        <f t="array" ref="C58">IF(C57=-1, -1,
  IF(C57&lt;income_max_row, C57+1,
    IF(C57=income_max_row, income_total_row,
      IF(C57=income_total_row, "/1",
        IF(C57="/1", expenditure_header_row,
          IF(C57&lt;expenditure_max_row, C57+1,
            IF(C57=expenditure_max_row, expenditure_total_row,
              IF(C57=expenditure_total_row, "/2",
                IF(C57="/2", savings_header_row,
                  IF(C57&lt;savings_max_row, C57+1,
                    IF(C57=savings_max_row, savings_total_row, -1)))))))))))</f>
        <v>-1</v>
      </c>
      <c r="D58" s="43">
        <f t="shared" si="19"/>
        <v>-1</v>
      </c>
      <c r="E58" s="42" cm="1">
        <f t="array" ref="E58">1*OR(row_id=income_header_row, row_id=expenditure_header_row, row_id=savings_header_row)</f>
        <v>0</v>
      </c>
      <c r="F58" s="3">
        <f t="shared" si="20"/>
        <v>0</v>
      </c>
      <c r="G58" s="3" cm="1">
        <f t="array" ref="G58">1*OR(row_id=income_total_row, row_id=expenditure_total_row, row_id=savings_total_row)</f>
        <v>0</v>
      </c>
      <c r="H58" s="43">
        <f t="shared" si="21"/>
        <v>1</v>
      </c>
      <c r="I58" s="42" t="str" cm="1">
        <f t="array" ref="I58">IFERROR(INDEX('Budget Plannning'!$B:$B, header_row_id), " ")</f>
        <v xml:space="preserve"> </v>
      </c>
      <c r="J58" s="3" t="str" cm="1">
        <f t="array" ref="J58">IFERROR(INDEX('Budget Plannning'!$B:$B, row_id), " ")</f>
        <v xml:space="preserve"> </v>
      </c>
      <c r="K58" s="44" t="str" cm="1">
        <f t="array" ref="K58">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8" s="45" t="str" cm="1">
        <f t="array" ref="L58">IF(OR(is_header, is_empty), "",
  INDEX('Budget Plannning'!$D:$GB, row_id,
    MATCH(IF(selected_period="Total Year", selected_year, DATE(selected_year, selected_period, 1)), 'Budget Plannning'!$D$7:$GB$7, 0)
  )
)</f>
        <v/>
      </c>
      <c r="M58" s="42" t="str" cm="1">
        <f t="array" ref="M58">IF(is_category,
  IF(header_row_id=income_header_row, MATCH(income_min_row, $C:$C, 0),
    IF(header_row_id=expenditure_header_row, MATCH(expenditure_min_row, $C:$C, 0),
      IF(header_row_id=savings_header_row, MATCH(savings_min_row, $C:$C, 0), ""))), "")</f>
        <v/>
      </c>
      <c r="N58" s="43" t="str" cm="1">
        <f t="array" ref="N58">IF(is_category,
  IF(header_row_id=income_header_row, MATCH(income_max_row, $C:$C, 0),
    IF(header_row_id=expenditure_header_row, MATCH(expenditure_max_row, $C:$C, 0),
      IF(header_row_id=savings_header_row, MATCH(savings_max_row, $C:$C, 0), ""))), "")</f>
        <v/>
      </c>
      <c r="O58" s="42" t="str">
        <f t="shared" si="22"/>
        <v/>
      </c>
      <c r="P58" s="3" t="str">
        <f t="shared" ca="1" si="23"/>
        <v/>
      </c>
      <c r="Q58" s="3" t="str">
        <f t="shared" si="24"/>
        <v/>
      </c>
      <c r="R58" s="43" t="str">
        <f t="shared" ca="1" si="25"/>
        <v/>
      </c>
      <c r="S58" s="42" t="str">
        <f t="shared" si="26"/>
        <v/>
      </c>
      <c r="T58" s="3" t="str">
        <f t="shared" si="27"/>
        <v/>
      </c>
      <c r="U58" s="3" t="str">
        <f t="shared" ca="1" si="28"/>
        <v/>
      </c>
      <c r="V58" s="3" t="str">
        <f t="shared" si="29"/>
        <v/>
      </c>
      <c r="W58" s="43" t="str">
        <f t="shared" ca="1" si="30"/>
        <v/>
      </c>
      <c r="X58" s="46">
        <f t="shared" si="31"/>
        <v>-1</v>
      </c>
      <c r="Y58" s="47" t="str">
        <f t="shared" si="32"/>
        <v/>
      </c>
      <c r="Z58" s="48" t="str">
        <f t="shared" si="33"/>
        <v/>
      </c>
      <c r="AA58" s="48" t="str">
        <f t="shared" si="34"/>
        <v/>
      </c>
      <c r="AB58" s="49" t="str">
        <f t="shared" si="16"/>
        <v/>
      </c>
      <c r="AC58" s="48" t="str">
        <f t="shared" si="35"/>
        <v/>
      </c>
      <c r="AD58" s="48" t="str">
        <f t="shared" si="36"/>
        <v/>
      </c>
    </row>
    <row r="59" spans="3:30" x14ac:dyDescent="0.3">
      <c r="C59" s="42" cm="1">
        <f t="array" ref="C59">IF(C58=-1, -1,
  IF(C58&lt;income_max_row, C58+1,
    IF(C58=income_max_row, income_total_row,
      IF(C58=income_total_row, "/1",
        IF(C58="/1", expenditure_header_row,
          IF(C58&lt;expenditure_max_row, C58+1,
            IF(C58=expenditure_max_row, expenditure_total_row,
              IF(C58=expenditure_total_row, "/2",
                IF(C58="/2", savings_header_row,
                  IF(C58&lt;savings_max_row, C58+1,
                    IF(C58=savings_max_row, savings_total_row, -1)))))))))))</f>
        <v>-1</v>
      </c>
      <c r="D59" s="43">
        <f t="shared" si="19"/>
        <v>-1</v>
      </c>
      <c r="E59" s="42" cm="1">
        <f t="array" ref="E59">1*OR(row_id=income_header_row, row_id=expenditure_header_row, row_id=savings_header_row)</f>
        <v>0</v>
      </c>
      <c r="F59" s="3">
        <f t="shared" si="20"/>
        <v>0</v>
      </c>
      <c r="G59" s="3" cm="1">
        <f t="array" ref="G59">1*OR(row_id=income_total_row, row_id=expenditure_total_row, row_id=savings_total_row)</f>
        <v>0</v>
      </c>
      <c r="H59" s="43">
        <f t="shared" si="21"/>
        <v>1</v>
      </c>
      <c r="I59" s="42" t="str" cm="1">
        <f t="array" ref="I59">IFERROR(INDEX('Budget Plannning'!$B:$B, header_row_id), " ")</f>
        <v xml:space="preserve"> </v>
      </c>
      <c r="J59" s="3" t="str" cm="1">
        <f t="array" ref="J59">IFERROR(INDEX('Budget Plannning'!$B:$B, row_id), " ")</f>
        <v xml:space="preserve"> </v>
      </c>
      <c r="K59" s="44" t="str" cm="1">
        <f t="array" ref="K59">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59" s="45" t="str" cm="1">
        <f t="array" ref="L59">IF(OR(is_header, is_empty), "",
  INDEX('Budget Plannning'!$D:$GB, row_id,
    MATCH(IF(selected_period="Total Year", selected_year, DATE(selected_year, selected_period, 1)), 'Budget Plannning'!$D$7:$GB$7, 0)
  )
)</f>
        <v/>
      </c>
      <c r="M59" s="42" t="str" cm="1">
        <f t="array" ref="M59">IF(is_category,
  IF(header_row_id=income_header_row, MATCH(income_min_row, $C:$C, 0),
    IF(header_row_id=expenditure_header_row, MATCH(expenditure_min_row, $C:$C, 0),
      IF(header_row_id=savings_header_row, MATCH(savings_min_row, $C:$C, 0), ""))), "")</f>
        <v/>
      </c>
      <c r="N59" s="43" t="str" cm="1">
        <f t="array" ref="N59">IF(is_category,
  IF(header_row_id=income_header_row, MATCH(income_max_row, $C:$C, 0),
    IF(header_row_id=expenditure_header_row, MATCH(expenditure_max_row, $C:$C, 0),
      IF(header_row_id=savings_header_row, MATCH(savings_max_row, $C:$C, 0), ""))), "")</f>
        <v/>
      </c>
      <c r="O59" s="42" t="str">
        <f t="shared" si="22"/>
        <v/>
      </c>
      <c r="P59" s="3" t="str">
        <f t="shared" ca="1" si="23"/>
        <v/>
      </c>
      <c r="Q59" s="3" t="str">
        <f t="shared" si="24"/>
        <v/>
      </c>
      <c r="R59" s="43" t="str">
        <f t="shared" ca="1" si="25"/>
        <v/>
      </c>
      <c r="S59" s="42" t="str">
        <f t="shared" si="26"/>
        <v/>
      </c>
      <c r="T59" s="3" t="str">
        <f t="shared" si="27"/>
        <v/>
      </c>
      <c r="U59" s="3" t="str">
        <f t="shared" ca="1" si="28"/>
        <v/>
      </c>
      <c r="V59" s="3" t="str">
        <f t="shared" si="29"/>
        <v/>
      </c>
      <c r="W59" s="43" t="str">
        <f t="shared" ca="1" si="30"/>
        <v/>
      </c>
      <c r="X59" s="46">
        <f t="shared" si="31"/>
        <v>-1</v>
      </c>
      <c r="Y59" s="47" t="str">
        <f t="shared" si="32"/>
        <v/>
      </c>
      <c r="Z59" s="48" t="str">
        <f t="shared" si="33"/>
        <v/>
      </c>
      <c r="AA59" s="48" t="str">
        <f t="shared" si="34"/>
        <v/>
      </c>
      <c r="AB59" s="49" t="str">
        <f t="shared" si="16"/>
        <v/>
      </c>
      <c r="AC59" s="48" t="str">
        <f t="shared" si="35"/>
        <v/>
      </c>
      <c r="AD59" s="48" t="str">
        <f t="shared" si="36"/>
        <v/>
      </c>
    </row>
    <row r="60" spans="3:30" x14ac:dyDescent="0.3">
      <c r="C60" s="42" cm="1">
        <f t="array" ref="C60">IF(C59=-1, -1,
  IF(C59&lt;income_max_row, C59+1,
    IF(C59=income_max_row, income_total_row,
      IF(C59=income_total_row, "/1",
        IF(C59="/1", expenditure_header_row,
          IF(C59&lt;expenditure_max_row, C59+1,
            IF(C59=expenditure_max_row, expenditure_total_row,
              IF(C59=expenditure_total_row, "/2",
                IF(C59="/2", savings_header_row,
                  IF(C59&lt;savings_max_row, C59+1,
                    IF(C59=savings_max_row, savings_total_row, -1)))))))))))</f>
        <v>-1</v>
      </c>
      <c r="D60" s="43">
        <f t="shared" si="19"/>
        <v>-1</v>
      </c>
      <c r="E60" s="42" cm="1">
        <f t="array" ref="E60">1*OR(row_id=income_header_row, row_id=expenditure_header_row, row_id=savings_header_row)</f>
        <v>0</v>
      </c>
      <c r="F60" s="3">
        <f t="shared" si="20"/>
        <v>0</v>
      </c>
      <c r="G60" s="3" cm="1">
        <f t="array" ref="G60">1*OR(row_id=income_total_row, row_id=expenditure_total_row, row_id=savings_total_row)</f>
        <v>0</v>
      </c>
      <c r="H60" s="43">
        <f t="shared" si="21"/>
        <v>1</v>
      </c>
      <c r="I60" s="42" t="str" cm="1">
        <f t="array" ref="I60">IFERROR(INDEX('Budget Plannning'!$B:$B, header_row_id), " ")</f>
        <v xml:space="preserve"> </v>
      </c>
      <c r="J60" s="3" t="str" cm="1">
        <f t="array" ref="J60">IFERROR(INDEX('Budget Plannning'!$B:$B, row_id), " ")</f>
        <v xml:space="preserve"> </v>
      </c>
      <c r="K60" s="44" t="str" cm="1">
        <f t="array" ref="K60">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60" s="45" t="str" cm="1">
        <f t="array" ref="L60">IF(OR(is_header, is_empty), "",
  INDEX('Budget Plannning'!$D:$GB, row_id,
    MATCH(IF(selected_period="Total Year", selected_year, DATE(selected_year, selected_period, 1)), 'Budget Plannning'!$D$7:$GB$7, 0)
  )
)</f>
        <v/>
      </c>
      <c r="M60" s="42" t="str" cm="1">
        <f t="array" ref="M60">IF(is_category,
  IF(header_row_id=income_header_row, MATCH(income_min_row, $C:$C, 0),
    IF(header_row_id=expenditure_header_row, MATCH(expenditure_min_row, $C:$C, 0),
      IF(header_row_id=savings_header_row, MATCH(savings_min_row, $C:$C, 0), ""))), "")</f>
        <v/>
      </c>
      <c r="N60" s="43" t="str" cm="1">
        <f t="array" ref="N60">IF(is_category,
  IF(header_row_id=income_header_row, MATCH(income_max_row, $C:$C, 0),
    IF(header_row_id=expenditure_header_row, MATCH(expenditure_max_row, $C:$C, 0),
      IF(header_row_id=savings_header_row, MATCH(savings_max_row, $C:$C, 0), ""))), "")</f>
        <v/>
      </c>
      <c r="O60" s="42" t="str">
        <f t="shared" si="22"/>
        <v/>
      </c>
      <c r="P60" s="3" t="str">
        <f t="shared" ca="1" si="23"/>
        <v/>
      </c>
      <c r="Q60" s="3" t="str">
        <f t="shared" si="24"/>
        <v/>
      </c>
      <c r="R60" s="43" t="str">
        <f t="shared" ca="1" si="25"/>
        <v/>
      </c>
      <c r="S60" s="42" t="str">
        <f t="shared" si="26"/>
        <v/>
      </c>
      <c r="T60" s="3" t="str">
        <f t="shared" si="27"/>
        <v/>
      </c>
      <c r="U60" s="3" t="str">
        <f t="shared" ca="1" si="28"/>
        <v/>
      </c>
      <c r="V60" s="3" t="str">
        <f t="shared" si="29"/>
        <v/>
      </c>
      <c r="W60" s="43" t="str">
        <f t="shared" ca="1" si="30"/>
        <v/>
      </c>
      <c r="X60" s="46">
        <f t="shared" si="31"/>
        <v>-1</v>
      </c>
      <c r="Y60" s="47" t="str">
        <f t="shared" si="32"/>
        <v/>
      </c>
      <c r="Z60" s="48" t="str">
        <f t="shared" si="33"/>
        <v/>
      </c>
      <c r="AA60" s="48" t="str">
        <f t="shared" si="34"/>
        <v/>
      </c>
      <c r="AB60" s="49" t="str">
        <f t="shared" si="16"/>
        <v/>
      </c>
      <c r="AC60" s="48" t="str">
        <f t="shared" si="35"/>
        <v/>
      </c>
      <c r="AD60" s="48" t="str">
        <f t="shared" si="36"/>
        <v/>
      </c>
    </row>
    <row r="61" spans="3:30" x14ac:dyDescent="0.3">
      <c r="C61" s="42" cm="1">
        <f t="array" ref="C61">IF(C60=-1, -1,
  IF(C60&lt;income_max_row, C60+1,
    IF(C60=income_max_row, income_total_row,
      IF(C60=income_total_row, "/1",
        IF(C60="/1", expenditure_header_row,
          IF(C60&lt;expenditure_max_row, C60+1,
            IF(C60=expenditure_max_row, expenditure_total_row,
              IF(C60=expenditure_total_row, "/2",
                IF(C60="/2", savings_header_row,
                  IF(C60&lt;savings_max_row, C60+1,
                    IF(C60=savings_max_row, savings_total_row, -1)))))))))))</f>
        <v>-1</v>
      </c>
      <c r="D61" s="43">
        <f t="shared" si="19"/>
        <v>-1</v>
      </c>
      <c r="E61" s="42" cm="1">
        <f t="array" ref="E61">1*OR(row_id=income_header_row, row_id=expenditure_header_row, row_id=savings_header_row)</f>
        <v>0</v>
      </c>
      <c r="F61" s="3">
        <f t="shared" si="20"/>
        <v>0</v>
      </c>
      <c r="G61" s="3" cm="1">
        <f t="array" ref="G61">1*OR(row_id=income_total_row, row_id=expenditure_total_row, row_id=savings_total_row)</f>
        <v>0</v>
      </c>
      <c r="H61" s="43">
        <f t="shared" si="21"/>
        <v>1</v>
      </c>
      <c r="I61" s="42" t="str" cm="1">
        <f t="array" ref="I61">IFERROR(INDEX('Budget Plannning'!$B:$B, header_row_id), " ")</f>
        <v xml:space="preserve"> </v>
      </c>
      <c r="J61" s="3" t="str" cm="1">
        <f t="array" ref="J61">IFERROR(INDEX('Budget Plannning'!$B:$B, row_id), " ")</f>
        <v xml:space="preserve"> </v>
      </c>
      <c r="K61" s="44" t="str" cm="1">
        <f t="array" ref="K61">IF(OR(is_header, is_empty), "",
  IF(is_total,
    IF(selected_period="Total Year",
      SUM(TrackingTable[Amount] * (TrackingTable[Type]= type) * (YEAR(TrackingTable[Effective Date])=selected_year)),
      SUM(TrackingTable[Amount] * (TrackingTable[Type]= type) * (YEAR(TrackingTable[Effective Date])=selected_year) * (MONTH(TrackingTable[Effective Date])=selected_period))
    ),
    IF(selected_period="Total Year",
      SUM(TrackingTable[Amount] * (TrackingTable[Type]= type) * (TrackingTable[Category]= item) * (YEAR(TrackingTable[Effective Date])=selected_year)),
      SUM(TrackingTable[Amount] * (TrackingTable[Type]= type) * (TrackingTable[Category]= item) * (YEAR(TrackingTable[Effective Date])=selected_year) * (MONTH(TrackingTable[Effective Date])=selected_period))
    )
  )
)</f>
        <v/>
      </c>
      <c r="L61" s="45" t="str" cm="1">
        <f t="array" ref="L61">IF(OR(is_header, is_empty), "",
  INDEX('Budget Plannning'!$D:$GB, row_id,
    MATCH(IF(selected_period="Total Year", selected_year, DATE(selected_year, selected_period, 1)), 'Budget Plannning'!$D$7:$GB$7, 0)
  )
)</f>
        <v/>
      </c>
      <c r="M61" s="42" t="str" cm="1">
        <f t="array" ref="M61">IF(is_category,
  IF(header_row_id=income_header_row, MATCH(income_min_row, $C:$C, 0),
    IF(header_row_id=expenditure_header_row, MATCH(expenditure_min_row, $C:$C, 0),
      IF(header_row_id=savings_header_row, MATCH(savings_min_row, $C:$C, 0), ""))), "")</f>
        <v/>
      </c>
      <c r="N61" s="43" t="str" cm="1">
        <f t="array" ref="N61">IF(is_category,
  IF(header_row_id=income_header_row, MATCH(income_max_row, $C:$C, 0),
    IF(header_row_id=expenditure_header_row, MATCH(expenditure_max_row, $C:$C, 0),
      IF(header_row_id=savings_header_row, MATCH(savings_max_row, $C:$C, 0), ""))), "")</f>
        <v/>
      </c>
      <c r="O61" s="42" t="str">
        <f t="shared" si="22"/>
        <v/>
      </c>
      <c r="P61" s="3" t="str">
        <f t="shared" ca="1" si="23"/>
        <v/>
      </c>
      <c r="Q61" s="3" t="str">
        <f t="shared" si="24"/>
        <v/>
      </c>
      <c r="R61" s="43" t="str">
        <f t="shared" ca="1" si="25"/>
        <v/>
      </c>
      <c r="S61" s="42" t="str">
        <f t="shared" si="26"/>
        <v/>
      </c>
      <c r="T61" s="3" t="str">
        <f t="shared" si="27"/>
        <v/>
      </c>
      <c r="U61" s="3" t="str">
        <f t="shared" ca="1" si="28"/>
        <v/>
      </c>
      <c r="V61" s="3" t="str">
        <f t="shared" si="29"/>
        <v/>
      </c>
      <c r="W61" s="43" t="str">
        <f t="shared" ca="1" si="30"/>
        <v/>
      </c>
      <c r="X61" s="46">
        <f t="shared" si="31"/>
        <v>-1</v>
      </c>
      <c r="Y61" s="47" t="str">
        <f t="shared" si="32"/>
        <v/>
      </c>
      <c r="Z61" s="48" t="str">
        <f t="shared" si="33"/>
        <v/>
      </c>
      <c r="AA61" s="48" t="str">
        <f t="shared" si="34"/>
        <v/>
      </c>
      <c r="AB61" s="49" t="str">
        <f t="shared" si="16"/>
        <v/>
      </c>
      <c r="AC61" s="48" t="str">
        <f t="shared" si="35"/>
        <v/>
      </c>
      <c r="AD61" s="48" t="str">
        <f t="shared" si="36"/>
        <v/>
      </c>
    </row>
  </sheetData>
  <mergeCells count="4">
    <mergeCell ref="Y10:AD10"/>
    <mergeCell ref="AF10:AR10"/>
    <mergeCell ref="AM4:AP4"/>
    <mergeCell ref="AM7:AP7"/>
  </mergeCells>
  <conditionalFormatting sqref="Y12:AD70">
    <cfRule type="expression" dxfId="28" priority="23" stopIfTrue="1">
      <formula>row_id=expenditure_header_row</formula>
    </cfRule>
    <cfRule type="expression" dxfId="27" priority="24" stopIfTrue="1">
      <formula>row_id=income_header_row</formula>
    </cfRule>
    <cfRule type="expression" dxfId="26" priority="25" stopIfTrue="1">
      <formula>row_id=savings_header_row</formula>
    </cfRule>
    <cfRule type="expression" dxfId="25" priority="26" stopIfTrue="1">
      <formula>is_total</formula>
    </cfRule>
  </conditionalFormatting>
  <conditionalFormatting sqref="AB12:AB99">
    <cfRule type="dataBar" priority="31">
      <dataBar>
        <cfvo type="num" val="0"/>
        <cfvo type="num" val="1"/>
        <color rgb="FFEEE7ED"/>
      </dataBar>
      <extLst>
        <ext xmlns:x14="http://schemas.microsoft.com/office/spreadsheetml/2009/9/main" uri="{B025F937-C7B1-47D3-B67F-A62EFF666E3E}">
          <x14:id>{6E97E9A2-A338-4178-B412-68B07360C455}</x14:id>
        </ext>
      </extLst>
    </cfRule>
  </conditionalFormatting>
  <conditionalFormatting sqref="AB13:AB70">
    <cfRule type="expression" dxfId="24" priority="27" stopIfTrue="1">
      <formula>AND(OR(is_category, is_total), out_budget &gt; 0, out_percentage_completed &gt;= 1, header_row_id=savings_header_row)</formula>
    </cfRule>
    <cfRule type="expression" dxfId="23" priority="28" stopIfTrue="1">
      <formula>AND(OR(is_category, is_total), out_budget &gt; 0, out_percentage_completed &gt;= 1, header_row_id=expenditure_header_row)</formula>
    </cfRule>
    <cfRule type="expression" dxfId="22" priority="29" stopIfTrue="1">
      <formula>AND(OR(is_category, is_total), out_budget &gt; 0, out_percentage_completed &gt;= 1, header_row_id=income_header_row)</formula>
    </cfRule>
  </conditionalFormatting>
  <conditionalFormatting sqref="AH15">
    <cfRule type="expression" dxfId="21" priority="16">
      <formula>AI15&lt;&gt;""</formula>
    </cfRule>
  </conditionalFormatting>
  <conditionalFormatting sqref="AH16">
    <cfRule type="expression" dxfId="20" priority="17">
      <formula>AI16&lt;&gt;""</formula>
    </cfRule>
  </conditionalFormatting>
  <conditionalFormatting sqref="AH17">
    <cfRule type="expression" dxfId="19" priority="18">
      <formula>AI17&lt;&gt;""</formula>
    </cfRule>
  </conditionalFormatting>
  <conditionalFormatting sqref="AH18">
    <cfRule type="expression" dxfId="18" priority="19">
      <formula>AI18&lt;&gt;""</formula>
    </cfRule>
  </conditionalFormatting>
  <conditionalFormatting sqref="AH19">
    <cfRule type="expression" dxfId="17" priority="20">
      <formula>AI19&lt;&gt;""</formula>
    </cfRule>
  </conditionalFormatting>
  <conditionalFormatting sqref="AH20">
    <cfRule type="expression" dxfId="16" priority="21">
      <formula>AI20&lt;&gt;""</formula>
    </cfRule>
  </conditionalFormatting>
  <conditionalFormatting sqref="AH29">
    <cfRule type="expression" dxfId="15" priority="10">
      <formula>AI29&lt;&gt;""</formula>
    </cfRule>
  </conditionalFormatting>
  <conditionalFormatting sqref="AH30">
    <cfRule type="expression" dxfId="14" priority="11">
      <formula>AI30&lt;&gt;""</formula>
    </cfRule>
  </conditionalFormatting>
  <conditionalFormatting sqref="AH31">
    <cfRule type="expression" dxfId="13" priority="12">
      <formula>AI31&lt;&gt;""</formula>
    </cfRule>
  </conditionalFormatting>
  <conditionalFormatting sqref="AH32">
    <cfRule type="expression" dxfId="12" priority="13">
      <formula>AI32&lt;&gt;""</formula>
    </cfRule>
  </conditionalFormatting>
  <conditionalFormatting sqref="AH33">
    <cfRule type="expression" dxfId="11" priority="14">
      <formula>AI33&lt;&gt;""</formula>
    </cfRule>
  </conditionalFormatting>
  <conditionalFormatting sqref="AH34">
    <cfRule type="expression" dxfId="10" priority="15">
      <formula>AI34&lt;&gt;""</formula>
    </cfRule>
  </conditionalFormatting>
  <conditionalFormatting sqref="AO29">
    <cfRule type="expression" dxfId="9" priority="4">
      <formula>AP29&lt;&gt;""</formula>
    </cfRule>
  </conditionalFormatting>
  <conditionalFormatting sqref="AO30">
    <cfRule type="expression" dxfId="8" priority="5">
      <formula>AP30&lt;&gt;""</formula>
    </cfRule>
  </conditionalFormatting>
  <conditionalFormatting sqref="AO31">
    <cfRule type="expression" dxfId="7" priority="6">
      <formula>AP31&lt;&gt;""</formula>
    </cfRule>
  </conditionalFormatting>
  <conditionalFormatting sqref="AO32">
    <cfRule type="expression" dxfId="6" priority="7">
      <formula>AP32&lt;&gt;""</formula>
    </cfRule>
  </conditionalFormatting>
  <conditionalFormatting sqref="AO33">
    <cfRule type="expression" dxfId="5" priority="8">
      <formula>AP33&lt;&gt;""</formula>
    </cfRule>
  </conditionalFormatting>
  <conditionalFormatting sqref="AO34">
    <cfRule type="expression" dxfId="4" priority="9">
      <formula>AP34&lt;&gt;""</formula>
    </cfRule>
  </conditionalFormatting>
  <conditionalFormatting sqref="AT9 Y8:AR9">
    <cfRule type="expression" dxfId="3" priority="3">
      <formula>shift_late_income_status="inactive"</formula>
    </cfRule>
  </conditionalFormatting>
  <conditionalFormatting sqref="Y2:AR3 Y5:AR6 Y4:AM4 AQ4:AR4 Y7:AM7 AQ7:AR7">
    <cfRule type="expression" dxfId="2" priority="2">
      <formula>shift_late_income_status="inactive"</formula>
    </cfRule>
  </conditionalFormatting>
  <conditionalFormatting sqref="C2:X9">
    <cfRule type="expression" dxfId="1" priority="1">
      <formula>shift_late_income_status="inactive"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Check Box 6">
              <controlPr defaultSize="0" autoFill="0" autoLine="0" autoPict="0">
                <anchor moveWithCells="1">
                  <from>
                    <xdr:col>41</xdr:col>
                    <xdr:colOff>243840</xdr:colOff>
                    <xdr:row>11</xdr:row>
                    <xdr:rowOff>137160</xdr:rowOff>
                  </from>
                  <to>
                    <xdr:col>41</xdr:col>
                    <xdr:colOff>861060</xdr:colOff>
                    <xdr:row>12</xdr:row>
                    <xdr:rowOff>99060</xdr:rowOff>
                  </to>
                </anchor>
              </controlPr>
            </control>
          </mc:Choice>
        </mc:AlternateContent>
        <mc:AlternateContent xmlns:mc="http://schemas.openxmlformats.org/markup-compatibility/2006">
          <mc:Choice Requires="x14">
            <control shapeId="2055" r:id="rId5" name="Check Box 7">
              <controlPr defaultSize="0" autoFill="0" autoLine="0" autoPict="0">
                <anchor moveWithCells="1">
                  <from>
                    <xdr:col>42</xdr:col>
                    <xdr:colOff>22860</xdr:colOff>
                    <xdr:row>11</xdr:row>
                    <xdr:rowOff>137160</xdr:rowOff>
                  </from>
                  <to>
                    <xdr:col>42</xdr:col>
                    <xdr:colOff>647700</xdr:colOff>
                    <xdr:row>12</xdr:row>
                    <xdr:rowOff>99060</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42</xdr:col>
                    <xdr:colOff>982980</xdr:colOff>
                    <xdr:row>11</xdr:row>
                    <xdr:rowOff>137160</xdr:rowOff>
                  </from>
                  <to>
                    <xdr:col>43</xdr:col>
                    <xdr:colOff>594360</xdr:colOff>
                    <xdr:row>12</xdr:row>
                    <xdr:rowOff>91440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39</xdr:col>
                    <xdr:colOff>777240</xdr:colOff>
                    <xdr:row>11</xdr:row>
                    <xdr:rowOff>137160</xdr:rowOff>
                  </from>
                  <to>
                    <xdr:col>40</xdr:col>
                    <xdr:colOff>60960</xdr:colOff>
                    <xdr:row>12</xdr:row>
                    <xdr:rowOff>99060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E97E9A2-A338-4178-B412-68B07360C455}">
            <x14:dataBar minLength="0" maxLength="100" gradient="0">
              <x14:cfvo type="num">
                <xm:f>0</xm:f>
              </x14:cfvo>
              <x14:cfvo type="num">
                <xm:f>1</xm:f>
              </x14:cfvo>
              <x14:negativeFillColor rgb="FFFF0000"/>
              <x14:axisColor rgb="FF000000"/>
            </x14:dataBar>
          </x14:cfRule>
          <xm:sqref>AB12:AB99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3293835-3E7D-4EA5-AAA3-69C13AB82BDF}">
          <x14:formula1>
            <xm:f>'DropDown Data'!$B$5:$B$18</xm:f>
          </x14:formula1>
          <xm:sqref>AQ4:AR4</xm:sqref>
        </x14:dataValidation>
        <x14:dataValidation type="list" allowBlank="1" showInputMessage="1" showErrorMessage="1" xr:uid="{B77BDD6F-4A28-480D-9DF3-2E79C2EF0A83}">
          <x14:formula1>
            <xm:f>'DropDown Data'!$D$5:$D$18</xm:f>
          </x14:formula1>
          <xm:sqref>AQ7:AR7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BA9D5-3EBC-4EA0-9B30-A6EEC5D310A1}">
  <sheetPr>
    <tabColor rgb="FFD19108"/>
  </sheetPr>
  <dimension ref="B1"/>
  <sheetViews>
    <sheetView showGridLines="0" zoomScale="80" zoomScaleNormal="80" workbookViewId="0">
      <selection activeCell="R29" sqref="R29"/>
    </sheetView>
  </sheetViews>
  <sheetFormatPr defaultRowHeight="14.4" x14ac:dyDescent="0.3"/>
  <cols>
    <col min="1" max="1" width="6.77734375" customWidth="1"/>
  </cols>
  <sheetData>
    <row r="1" spans="2:2" s="2" customFormat="1" ht="47.4" customHeight="1" x14ac:dyDescent="0.3">
      <c r="B1" s="2" t="s">
        <v>278</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D7EB-1C3A-4666-B651-E431D165A22F}">
  <sheetPr>
    <tabColor rgb="FF002060"/>
  </sheetPr>
  <dimension ref="B1:J45"/>
  <sheetViews>
    <sheetView showGridLines="0" zoomScale="80" zoomScaleNormal="80" workbookViewId="0">
      <selection activeCell="R29" sqref="R29"/>
    </sheetView>
  </sheetViews>
  <sheetFormatPr defaultRowHeight="14.4" x14ac:dyDescent="0.3"/>
  <cols>
    <col min="1" max="1" width="6.77734375" customWidth="1"/>
    <col min="2" max="2" width="14.44140625" bestFit="1" customWidth="1"/>
    <col min="3" max="3" width="16.88671875" bestFit="1" customWidth="1"/>
    <col min="4" max="4" width="7.44140625" bestFit="1" customWidth="1"/>
    <col min="5" max="5" width="11" bestFit="1" customWidth="1"/>
    <col min="9" max="9" width="14.6640625" bestFit="1" customWidth="1"/>
    <col min="10" max="10" width="14.44140625" bestFit="1" customWidth="1"/>
    <col min="11" max="16" width="9.5546875" bestFit="1" customWidth="1"/>
    <col min="17" max="17" width="11" bestFit="1" customWidth="1"/>
    <col min="18" max="18" width="7.109375" bestFit="1" customWidth="1"/>
    <col min="19" max="19" width="7.88671875" bestFit="1" customWidth="1"/>
    <col min="20" max="20" width="11" bestFit="1" customWidth="1"/>
  </cols>
  <sheetData>
    <row r="1" spans="2:10" s="2" customFormat="1" ht="47.4" customHeight="1" x14ac:dyDescent="0.3">
      <c r="B1" s="2" t="s">
        <v>279</v>
      </c>
    </row>
    <row r="5" spans="2:10" x14ac:dyDescent="0.3">
      <c r="B5" s="171" t="s">
        <v>280</v>
      </c>
      <c r="C5" s="171" t="s">
        <v>281</v>
      </c>
      <c r="I5" s="171" t="s">
        <v>282</v>
      </c>
      <c r="J5" t="s">
        <v>280</v>
      </c>
    </row>
    <row r="6" spans="2:10" x14ac:dyDescent="0.3">
      <c r="B6" s="171" t="s">
        <v>282</v>
      </c>
      <c r="C6" t="s">
        <v>17</v>
      </c>
      <c r="D6" t="s">
        <v>12</v>
      </c>
      <c r="E6" t="s">
        <v>283</v>
      </c>
      <c r="I6" s="173" t="s">
        <v>28</v>
      </c>
      <c r="J6">
        <v>10</v>
      </c>
    </row>
    <row r="7" spans="2:10" x14ac:dyDescent="0.3">
      <c r="B7" s="172">
        <v>45544</v>
      </c>
      <c r="C7">
        <v>155</v>
      </c>
      <c r="D7">
        <v>100</v>
      </c>
      <c r="E7">
        <v>255</v>
      </c>
      <c r="I7" s="174">
        <v>45544</v>
      </c>
      <c r="J7">
        <v>5</v>
      </c>
    </row>
    <row r="8" spans="2:10" x14ac:dyDescent="0.3">
      <c r="B8" s="172">
        <v>45547</v>
      </c>
      <c r="C8">
        <v>165</v>
      </c>
      <c r="E8">
        <v>165</v>
      </c>
      <c r="I8" s="174">
        <v>45551</v>
      </c>
      <c r="J8">
        <v>5</v>
      </c>
    </row>
    <row r="9" spans="2:10" x14ac:dyDescent="0.3">
      <c r="B9" s="172">
        <v>45548</v>
      </c>
      <c r="D9">
        <v>500</v>
      </c>
      <c r="E9">
        <v>500</v>
      </c>
      <c r="I9" s="173" t="s">
        <v>26</v>
      </c>
      <c r="J9">
        <v>250</v>
      </c>
    </row>
    <row r="10" spans="2:10" x14ac:dyDescent="0.3">
      <c r="B10" s="172">
        <v>45549</v>
      </c>
      <c r="C10">
        <v>4319</v>
      </c>
      <c r="D10">
        <v>5300</v>
      </c>
      <c r="E10">
        <v>9619</v>
      </c>
      <c r="I10" s="174">
        <v>45552</v>
      </c>
      <c r="J10">
        <v>250</v>
      </c>
    </row>
    <row r="11" spans="2:10" x14ac:dyDescent="0.3">
      <c r="B11" s="172">
        <v>45551</v>
      </c>
      <c r="C11">
        <v>370</v>
      </c>
      <c r="D11">
        <v>300</v>
      </c>
      <c r="E11">
        <v>670</v>
      </c>
      <c r="I11" s="173" t="s">
        <v>274</v>
      </c>
      <c r="J11">
        <v>1150</v>
      </c>
    </row>
    <row r="12" spans="2:10" x14ac:dyDescent="0.3">
      <c r="B12" s="172">
        <v>45552</v>
      </c>
      <c r="C12">
        <v>1420</v>
      </c>
      <c r="D12">
        <v>250</v>
      </c>
      <c r="E12">
        <v>1670</v>
      </c>
      <c r="I12" s="174">
        <v>45552</v>
      </c>
      <c r="J12">
        <v>1100</v>
      </c>
    </row>
    <row r="13" spans="2:10" x14ac:dyDescent="0.3">
      <c r="B13" s="172">
        <v>45553</v>
      </c>
      <c r="C13">
        <v>390</v>
      </c>
      <c r="D13">
        <v>200</v>
      </c>
      <c r="E13">
        <v>590</v>
      </c>
      <c r="I13" s="174">
        <v>45553</v>
      </c>
      <c r="J13">
        <v>50</v>
      </c>
    </row>
    <row r="14" spans="2:10" x14ac:dyDescent="0.3">
      <c r="B14" s="172">
        <v>45557</v>
      </c>
      <c r="I14" s="173" t="s">
        <v>21</v>
      </c>
      <c r="J14">
        <v>1154</v>
      </c>
    </row>
    <row r="15" spans="2:10" x14ac:dyDescent="0.3">
      <c r="B15" s="172" t="s">
        <v>283</v>
      </c>
      <c r="C15">
        <v>6819</v>
      </c>
      <c r="D15">
        <v>6650</v>
      </c>
      <c r="E15">
        <v>13469</v>
      </c>
      <c r="I15" s="174">
        <v>45549</v>
      </c>
      <c r="J15">
        <v>1154</v>
      </c>
    </row>
    <row r="16" spans="2:10" x14ac:dyDescent="0.3">
      <c r="I16" s="173" t="s">
        <v>14</v>
      </c>
      <c r="J16">
        <v>5000</v>
      </c>
    </row>
    <row r="17" spans="9:10" x14ac:dyDescent="0.3">
      <c r="I17" s="174">
        <v>45549</v>
      </c>
      <c r="J17">
        <v>5000</v>
      </c>
    </row>
    <row r="18" spans="9:10" x14ac:dyDescent="0.3">
      <c r="I18" s="173" t="s">
        <v>20</v>
      </c>
      <c r="J18">
        <v>435</v>
      </c>
    </row>
    <row r="19" spans="9:10" x14ac:dyDescent="0.3">
      <c r="I19" s="174">
        <v>45544</v>
      </c>
      <c r="J19">
        <v>130</v>
      </c>
    </row>
    <row r="20" spans="9:10" x14ac:dyDescent="0.3">
      <c r="I20" s="174">
        <v>45547</v>
      </c>
      <c r="J20">
        <v>25</v>
      </c>
    </row>
    <row r="21" spans="9:10" x14ac:dyDescent="0.3">
      <c r="I21" s="174">
        <v>45549</v>
      </c>
      <c r="J21">
        <v>60</v>
      </c>
    </row>
    <row r="22" spans="9:10" x14ac:dyDescent="0.3">
      <c r="I22" s="174">
        <v>45551</v>
      </c>
      <c r="J22">
        <v>80</v>
      </c>
    </row>
    <row r="23" spans="9:10" x14ac:dyDescent="0.3">
      <c r="I23" s="174">
        <v>45552</v>
      </c>
      <c r="J23">
        <v>30</v>
      </c>
    </row>
    <row r="24" spans="9:10" x14ac:dyDescent="0.3">
      <c r="I24" s="174">
        <v>45553</v>
      </c>
      <c r="J24">
        <v>110</v>
      </c>
    </row>
    <row r="25" spans="9:10" x14ac:dyDescent="0.3">
      <c r="I25" s="173" t="s">
        <v>18</v>
      </c>
      <c r="J25">
        <v>3000</v>
      </c>
    </row>
    <row r="26" spans="9:10" x14ac:dyDescent="0.3">
      <c r="I26" s="174">
        <v>45549</v>
      </c>
      <c r="J26">
        <v>3000</v>
      </c>
    </row>
    <row r="27" spans="9:10" x14ac:dyDescent="0.3">
      <c r="I27" s="173" t="s">
        <v>273</v>
      </c>
      <c r="J27">
        <v>1650</v>
      </c>
    </row>
    <row r="28" spans="9:10" x14ac:dyDescent="0.3">
      <c r="I28" s="174">
        <v>45544</v>
      </c>
      <c r="J28">
        <v>100</v>
      </c>
    </row>
    <row r="29" spans="9:10" x14ac:dyDescent="0.3">
      <c r="I29" s="174">
        <v>45548</v>
      </c>
      <c r="J29">
        <v>500</v>
      </c>
    </row>
    <row r="30" spans="9:10" x14ac:dyDescent="0.3">
      <c r="I30" s="174">
        <v>45549</v>
      </c>
      <c r="J30">
        <v>300</v>
      </c>
    </row>
    <row r="31" spans="9:10" x14ac:dyDescent="0.3">
      <c r="I31" s="174">
        <v>45551</v>
      </c>
      <c r="J31">
        <v>300</v>
      </c>
    </row>
    <row r="32" spans="9:10" x14ac:dyDescent="0.3">
      <c r="I32" s="174">
        <v>45552</v>
      </c>
      <c r="J32">
        <v>250</v>
      </c>
    </row>
    <row r="33" spans="9:10" x14ac:dyDescent="0.3">
      <c r="I33" s="174">
        <v>45553</v>
      </c>
      <c r="J33">
        <v>200</v>
      </c>
    </row>
    <row r="34" spans="9:10" x14ac:dyDescent="0.3">
      <c r="I34" s="174">
        <v>45557</v>
      </c>
    </row>
    <row r="35" spans="9:10" x14ac:dyDescent="0.3">
      <c r="I35" s="173" t="s">
        <v>27</v>
      </c>
      <c r="J35">
        <v>345</v>
      </c>
    </row>
    <row r="36" spans="9:10" x14ac:dyDescent="0.3">
      <c r="I36" s="174">
        <v>45544</v>
      </c>
      <c r="J36">
        <v>20</v>
      </c>
    </row>
    <row r="37" spans="9:10" x14ac:dyDescent="0.3">
      <c r="I37" s="174">
        <v>45549</v>
      </c>
      <c r="J37">
        <v>105</v>
      </c>
    </row>
    <row r="38" spans="9:10" x14ac:dyDescent="0.3">
      <c r="I38" s="174">
        <v>45551</v>
      </c>
      <c r="J38">
        <v>110</v>
      </c>
    </row>
    <row r="39" spans="9:10" x14ac:dyDescent="0.3">
      <c r="I39" s="174">
        <v>45552</v>
      </c>
      <c r="J39">
        <v>40</v>
      </c>
    </row>
    <row r="40" spans="9:10" x14ac:dyDescent="0.3">
      <c r="I40" s="174">
        <v>45553</v>
      </c>
      <c r="J40">
        <v>70</v>
      </c>
    </row>
    <row r="41" spans="9:10" x14ac:dyDescent="0.3">
      <c r="I41" s="173" t="s">
        <v>25</v>
      </c>
      <c r="J41">
        <v>475</v>
      </c>
    </row>
    <row r="42" spans="9:10" x14ac:dyDescent="0.3">
      <c r="I42" s="174">
        <v>45547</v>
      </c>
      <c r="J42">
        <v>140</v>
      </c>
    </row>
    <row r="43" spans="9:10" x14ac:dyDescent="0.3">
      <c r="I43" s="174">
        <v>45551</v>
      </c>
      <c r="J43">
        <v>175</v>
      </c>
    </row>
    <row r="44" spans="9:10" x14ac:dyDescent="0.3">
      <c r="I44" s="174">
        <v>45553</v>
      </c>
      <c r="J44">
        <v>160</v>
      </c>
    </row>
    <row r="45" spans="9:10" x14ac:dyDescent="0.3">
      <c r="I45" s="173" t="s">
        <v>283</v>
      </c>
      <c r="J45">
        <v>13469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2F9F-9804-46FD-8637-15B4A7C821BD}">
  <sheetPr codeName="Sheet7">
    <tabColor rgb="FF002060"/>
  </sheetPr>
  <dimension ref="B1:R19"/>
  <sheetViews>
    <sheetView showGridLines="0" zoomScale="80" zoomScaleNormal="80" workbookViewId="0">
      <selection activeCell="C40" sqref="C40"/>
    </sheetView>
  </sheetViews>
  <sheetFormatPr defaultColWidth="9.109375" defaultRowHeight="12" x14ac:dyDescent="0.3"/>
  <cols>
    <col min="1" max="1" width="3.6640625" style="60" customWidth="1"/>
    <col min="2" max="2" width="25.5546875" style="71" bestFit="1" customWidth="1"/>
    <col min="3" max="3" width="34.21875" style="71" customWidth="1"/>
    <col min="4" max="4" width="6.6640625" style="60" customWidth="1"/>
    <col min="5" max="5" width="16.109375" style="60" customWidth="1"/>
    <col min="6" max="6" width="46.44140625" style="60" bestFit="1" customWidth="1"/>
    <col min="7" max="7" width="42.88671875" style="60" bestFit="1" customWidth="1"/>
    <col min="8" max="8" width="34.5546875" style="60" bestFit="1" customWidth="1"/>
    <col min="9" max="9" width="44.5546875" style="60" bestFit="1" customWidth="1"/>
    <col min="10" max="10" width="50.6640625" style="60" bestFit="1" customWidth="1"/>
    <col min="11" max="11" width="33" style="60" bestFit="1" customWidth="1"/>
    <col min="12" max="12" width="38.44140625" style="60" bestFit="1" customWidth="1"/>
    <col min="13" max="13" width="42.109375" style="60" bestFit="1" customWidth="1"/>
    <col min="14" max="14" width="25.88671875" style="60" bestFit="1" customWidth="1"/>
    <col min="15" max="15" width="34.44140625" style="60" bestFit="1" customWidth="1"/>
    <col min="16" max="16" width="33.109375" style="60" bestFit="1" customWidth="1"/>
    <col min="17" max="17" width="12.6640625" style="60" customWidth="1"/>
    <col min="18" max="18" width="7" style="60" bestFit="1" customWidth="1"/>
    <col min="19" max="16384" width="9.109375" style="60"/>
  </cols>
  <sheetData>
    <row r="1" spans="2:18" s="2" customFormat="1" ht="47.4" customHeight="1" x14ac:dyDescent="0.3">
      <c r="B1" s="2" t="s">
        <v>272</v>
      </c>
      <c r="C1" s="128"/>
    </row>
    <row r="3" spans="2:18" x14ac:dyDescent="0.3">
      <c r="B3" s="202" t="s">
        <v>81</v>
      </c>
      <c r="C3" s="203"/>
      <c r="E3" s="204" t="s">
        <v>82</v>
      </c>
      <c r="F3" s="205"/>
      <c r="G3" s="205"/>
      <c r="H3" s="205"/>
      <c r="I3" s="205"/>
      <c r="J3" s="205"/>
      <c r="K3" s="205"/>
      <c r="L3" s="205"/>
      <c r="M3" s="205"/>
      <c r="N3" s="205"/>
      <c r="O3" s="205"/>
      <c r="P3" s="205"/>
    </row>
    <row r="4" spans="2:18" x14ac:dyDescent="0.3">
      <c r="B4" s="61" t="s">
        <v>41</v>
      </c>
      <c r="C4" s="62" t="s">
        <v>83</v>
      </c>
      <c r="E4" s="63" t="s">
        <v>41</v>
      </c>
      <c r="F4" s="63" t="s">
        <v>33</v>
      </c>
      <c r="G4" s="63" t="s">
        <v>84</v>
      </c>
      <c r="H4" s="63" t="s">
        <v>85</v>
      </c>
      <c r="I4" s="63" t="s">
        <v>86</v>
      </c>
      <c r="J4" s="63" t="s">
        <v>87</v>
      </c>
      <c r="K4" s="63" t="s">
        <v>88</v>
      </c>
      <c r="L4" s="63" t="s">
        <v>89</v>
      </c>
      <c r="M4" s="63" t="s">
        <v>90</v>
      </c>
      <c r="N4" s="63" t="s">
        <v>91</v>
      </c>
      <c r="O4" s="63" t="s">
        <v>92</v>
      </c>
      <c r="P4" s="64" t="s">
        <v>93</v>
      </c>
    </row>
    <row r="5" spans="2:18" x14ac:dyDescent="0.3">
      <c r="B5" s="65" t="s">
        <v>94</v>
      </c>
      <c r="C5" s="66" t="s">
        <v>95</v>
      </c>
      <c r="E5" s="67" t="s">
        <v>96</v>
      </c>
      <c r="F5" s="67" t="s">
        <v>97</v>
      </c>
      <c r="G5" s="67" t="s">
        <v>98</v>
      </c>
      <c r="H5" s="67" t="s">
        <v>99</v>
      </c>
      <c r="I5" s="67" t="s">
        <v>100</v>
      </c>
      <c r="J5" s="67" t="s">
        <v>101</v>
      </c>
      <c r="K5" s="67" t="s">
        <v>102</v>
      </c>
      <c r="L5" s="67" t="s">
        <v>103</v>
      </c>
      <c r="M5" s="67" t="s">
        <v>104</v>
      </c>
      <c r="N5" s="67" t="s">
        <v>105</v>
      </c>
      <c r="O5" s="67" t="s">
        <v>106</v>
      </c>
      <c r="P5" s="68" t="s">
        <v>107</v>
      </c>
    </row>
    <row r="6" spans="2:18" ht="24" x14ac:dyDescent="0.3">
      <c r="B6" s="65" t="s">
        <v>108</v>
      </c>
      <c r="C6" s="66" t="s">
        <v>109</v>
      </c>
      <c r="E6" s="69" t="s">
        <v>83</v>
      </c>
      <c r="F6" s="69" t="s">
        <v>110</v>
      </c>
      <c r="G6" s="69" t="s">
        <v>111</v>
      </c>
      <c r="H6" s="69" t="s">
        <v>112</v>
      </c>
      <c r="I6" s="69" t="s">
        <v>113</v>
      </c>
      <c r="J6" s="69" t="s">
        <v>114</v>
      </c>
      <c r="K6" s="69" t="s">
        <v>115</v>
      </c>
      <c r="L6" s="69" t="s">
        <v>116</v>
      </c>
      <c r="M6" s="69" t="s">
        <v>117</v>
      </c>
      <c r="N6" s="69" t="s">
        <v>118</v>
      </c>
      <c r="O6" s="69" t="s">
        <v>119</v>
      </c>
      <c r="P6" s="70" t="s">
        <v>120</v>
      </c>
    </row>
    <row r="7" spans="2:18" ht="24" x14ac:dyDescent="0.3">
      <c r="B7" s="65" t="s">
        <v>121</v>
      </c>
      <c r="C7" s="66" t="s">
        <v>122</v>
      </c>
      <c r="E7" s="71"/>
    </row>
    <row r="8" spans="2:18" ht="24" x14ac:dyDescent="0.3">
      <c r="B8" s="65" t="s">
        <v>123</v>
      </c>
      <c r="C8" s="66" t="s">
        <v>124</v>
      </c>
      <c r="E8" s="206" t="s">
        <v>125</v>
      </c>
      <c r="F8" s="207"/>
      <c r="G8" s="207"/>
      <c r="H8" s="207"/>
      <c r="I8" s="207"/>
      <c r="J8" s="207"/>
      <c r="K8" s="207"/>
      <c r="L8" s="207"/>
      <c r="M8" s="207"/>
      <c r="N8" s="207"/>
      <c r="O8" s="207"/>
      <c r="P8" s="207"/>
      <c r="Q8" s="207"/>
      <c r="R8" s="208"/>
    </row>
    <row r="9" spans="2:18" ht="24" x14ac:dyDescent="0.3">
      <c r="B9" s="65" t="s">
        <v>126</v>
      </c>
      <c r="C9" s="66" t="s">
        <v>127</v>
      </c>
      <c r="E9" s="72" t="s">
        <v>128</v>
      </c>
      <c r="F9" s="72" t="s">
        <v>25</v>
      </c>
      <c r="G9" s="72" t="s">
        <v>129</v>
      </c>
      <c r="H9" s="72" t="s">
        <v>130</v>
      </c>
      <c r="I9" s="72" t="s">
        <v>131</v>
      </c>
      <c r="J9" s="72" t="s">
        <v>132</v>
      </c>
      <c r="K9" s="72" t="s">
        <v>133</v>
      </c>
      <c r="L9" s="72" t="s">
        <v>134</v>
      </c>
      <c r="M9" s="72" t="s">
        <v>135</v>
      </c>
      <c r="N9" s="72" t="s">
        <v>136</v>
      </c>
      <c r="O9" s="72" t="s">
        <v>137</v>
      </c>
      <c r="P9" s="72" t="s">
        <v>138</v>
      </c>
      <c r="Q9" s="72" t="s">
        <v>139</v>
      </c>
      <c r="R9" s="73" t="s">
        <v>140</v>
      </c>
    </row>
    <row r="10" spans="2:18" ht="36" x14ac:dyDescent="0.3">
      <c r="B10" s="65" t="s">
        <v>141</v>
      </c>
      <c r="C10" s="66" t="s">
        <v>142</v>
      </c>
      <c r="E10" s="74" t="s">
        <v>143</v>
      </c>
      <c r="F10" s="74" t="s">
        <v>144</v>
      </c>
      <c r="G10" s="74" t="s">
        <v>145</v>
      </c>
      <c r="H10" s="74" t="s">
        <v>146</v>
      </c>
      <c r="I10" s="74" t="s">
        <v>147</v>
      </c>
      <c r="J10" s="74" t="s">
        <v>148</v>
      </c>
      <c r="K10" s="74" t="s">
        <v>149</v>
      </c>
      <c r="L10" s="74" t="s">
        <v>150</v>
      </c>
      <c r="M10" s="74" t="s">
        <v>151</v>
      </c>
      <c r="N10" s="74" t="s">
        <v>152</v>
      </c>
      <c r="O10" s="74" t="s">
        <v>153</v>
      </c>
      <c r="P10" s="74"/>
      <c r="Q10" s="74" t="s">
        <v>154</v>
      </c>
      <c r="R10" s="75" t="s">
        <v>155</v>
      </c>
    </row>
    <row r="11" spans="2:18" ht="24" x14ac:dyDescent="0.3">
      <c r="B11" s="65" t="s">
        <v>156</v>
      </c>
      <c r="C11" s="66" t="s">
        <v>157</v>
      </c>
      <c r="E11" s="74" t="s">
        <v>18</v>
      </c>
      <c r="F11" s="74" t="s">
        <v>23</v>
      </c>
      <c r="G11" s="74" t="s">
        <v>158</v>
      </c>
      <c r="H11" s="74" t="s">
        <v>20</v>
      </c>
      <c r="I11" s="74" t="s">
        <v>159</v>
      </c>
      <c r="J11" s="74" t="s">
        <v>160</v>
      </c>
      <c r="K11" s="74" t="s">
        <v>161</v>
      </c>
      <c r="L11" s="74" t="s">
        <v>162</v>
      </c>
      <c r="M11" s="74" t="s">
        <v>163</v>
      </c>
      <c r="N11" s="74" t="s">
        <v>164</v>
      </c>
      <c r="O11" s="74" t="s">
        <v>165</v>
      </c>
      <c r="P11" s="74" t="s">
        <v>166</v>
      </c>
      <c r="Q11" s="74" t="s">
        <v>167</v>
      </c>
      <c r="R11" s="75" t="s">
        <v>168</v>
      </c>
    </row>
    <row r="12" spans="2:18" ht="24" x14ac:dyDescent="0.3">
      <c r="B12" s="65" t="s">
        <v>169</v>
      </c>
      <c r="C12" s="66" t="s">
        <v>170</v>
      </c>
      <c r="E12" s="74" t="s">
        <v>171</v>
      </c>
      <c r="F12" s="74" t="s">
        <v>172</v>
      </c>
      <c r="G12" s="74" t="s">
        <v>173</v>
      </c>
      <c r="H12" s="74" t="s">
        <v>174</v>
      </c>
      <c r="I12" s="74" t="s">
        <v>175</v>
      </c>
      <c r="J12" s="74" t="s">
        <v>176</v>
      </c>
      <c r="K12" s="74" t="s">
        <v>177</v>
      </c>
      <c r="L12" s="74" t="s">
        <v>178</v>
      </c>
      <c r="M12" s="74" t="s">
        <v>179</v>
      </c>
      <c r="N12" s="74" t="s">
        <v>180</v>
      </c>
      <c r="O12" s="74" t="s">
        <v>181</v>
      </c>
      <c r="P12" s="74" t="s">
        <v>182</v>
      </c>
      <c r="Q12" s="74" t="s">
        <v>183</v>
      </c>
      <c r="R12" s="75"/>
    </row>
    <row r="13" spans="2:18" ht="24" x14ac:dyDescent="0.3">
      <c r="B13" s="65" t="s">
        <v>184</v>
      </c>
      <c r="C13" s="66" t="s">
        <v>185</v>
      </c>
      <c r="E13" s="74" t="s">
        <v>186</v>
      </c>
      <c r="F13" s="74" t="s">
        <v>187</v>
      </c>
      <c r="G13" s="74" t="s">
        <v>188</v>
      </c>
      <c r="H13" s="74" t="s">
        <v>27</v>
      </c>
      <c r="I13" s="74" t="s">
        <v>189</v>
      </c>
      <c r="J13" s="74" t="s">
        <v>190</v>
      </c>
      <c r="K13" s="74" t="s">
        <v>191</v>
      </c>
      <c r="L13" s="74" t="s">
        <v>192</v>
      </c>
      <c r="M13" s="74" t="s">
        <v>193</v>
      </c>
      <c r="N13" s="74" t="s">
        <v>194</v>
      </c>
      <c r="O13" s="74" t="s">
        <v>195</v>
      </c>
      <c r="P13" s="74" t="s">
        <v>196</v>
      </c>
      <c r="Q13" s="74"/>
      <c r="R13" s="75"/>
    </row>
    <row r="14" spans="2:18" ht="24" x14ac:dyDescent="0.3">
      <c r="B14" s="65" t="s">
        <v>197</v>
      </c>
      <c r="C14" s="66" t="s">
        <v>198</v>
      </c>
      <c r="E14" s="74" t="s">
        <v>199</v>
      </c>
      <c r="F14" s="74" t="s">
        <v>200</v>
      </c>
      <c r="G14" s="74" t="s">
        <v>201</v>
      </c>
      <c r="H14" s="74" t="s">
        <v>202</v>
      </c>
      <c r="I14" s="74" t="s">
        <v>203</v>
      </c>
      <c r="J14" s="74"/>
      <c r="K14" s="74" t="s">
        <v>204</v>
      </c>
      <c r="L14" s="74" t="s">
        <v>205</v>
      </c>
      <c r="M14" s="74" t="s">
        <v>206</v>
      </c>
      <c r="N14" s="74" t="s">
        <v>207</v>
      </c>
      <c r="O14" s="74"/>
      <c r="P14" s="74"/>
      <c r="Q14" s="74"/>
      <c r="R14" s="75"/>
    </row>
    <row r="15" spans="2:18" ht="24" x14ac:dyDescent="0.3">
      <c r="B15" s="65" t="s">
        <v>165</v>
      </c>
      <c r="C15" s="66" t="s">
        <v>208</v>
      </c>
      <c r="E15" s="74" t="s">
        <v>209</v>
      </c>
      <c r="F15" s="74" t="s">
        <v>210</v>
      </c>
      <c r="G15" s="74" t="s">
        <v>211</v>
      </c>
      <c r="H15" s="74" t="s">
        <v>209</v>
      </c>
      <c r="I15" s="74"/>
      <c r="J15" s="74"/>
      <c r="K15" s="74" t="s">
        <v>212</v>
      </c>
      <c r="L15" s="74" t="s">
        <v>213</v>
      </c>
      <c r="M15" s="74"/>
      <c r="N15" s="74" t="s">
        <v>194</v>
      </c>
      <c r="O15" s="74"/>
      <c r="P15" s="74"/>
      <c r="Q15" s="74"/>
      <c r="R15" s="75"/>
    </row>
    <row r="16" spans="2:18" ht="24" x14ac:dyDescent="0.3">
      <c r="B16" s="65" t="s">
        <v>214</v>
      </c>
      <c r="C16" s="66" t="s">
        <v>215</v>
      </c>
      <c r="E16" s="74"/>
      <c r="F16" s="74" t="s">
        <v>216</v>
      </c>
      <c r="G16" s="74" t="s">
        <v>217</v>
      </c>
      <c r="H16" s="74"/>
      <c r="I16" s="74"/>
      <c r="J16" s="74"/>
      <c r="K16" s="74" t="s">
        <v>218</v>
      </c>
      <c r="L16" s="74" t="s">
        <v>219</v>
      </c>
      <c r="M16" s="74"/>
      <c r="N16" s="74" t="s">
        <v>220</v>
      </c>
      <c r="O16" s="74"/>
      <c r="P16" s="74"/>
      <c r="Q16" s="74"/>
      <c r="R16" s="75"/>
    </row>
    <row r="17" spans="2:18" ht="36" x14ac:dyDescent="0.3">
      <c r="B17" s="65" t="s">
        <v>221</v>
      </c>
      <c r="C17" s="66" t="s">
        <v>222</v>
      </c>
      <c r="E17" s="74"/>
      <c r="F17" s="74"/>
      <c r="G17" s="74"/>
      <c r="H17" s="74"/>
      <c r="I17" s="74"/>
      <c r="J17" s="74"/>
      <c r="K17" s="74" t="s">
        <v>218</v>
      </c>
      <c r="L17" s="74"/>
      <c r="M17" s="74"/>
      <c r="N17" s="74" t="s">
        <v>223</v>
      </c>
      <c r="O17" s="74"/>
      <c r="P17" s="74"/>
      <c r="Q17" s="74"/>
      <c r="R17" s="75"/>
    </row>
    <row r="18" spans="2:18" x14ac:dyDescent="0.3">
      <c r="B18" s="65" t="s">
        <v>224</v>
      </c>
      <c r="C18" s="66" t="s">
        <v>225</v>
      </c>
      <c r="E18" s="76"/>
      <c r="F18" s="76"/>
      <c r="G18" s="76"/>
      <c r="H18" s="76"/>
      <c r="I18" s="76"/>
      <c r="J18" s="76"/>
      <c r="K18" s="76"/>
      <c r="L18" s="76"/>
      <c r="M18" s="76"/>
      <c r="N18" s="76" t="s">
        <v>226</v>
      </c>
      <c r="O18" s="76"/>
      <c r="P18" s="76"/>
      <c r="Q18" s="76"/>
      <c r="R18" s="77"/>
    </row>
    <row r="19" spans="2:18" ht="24" x14ac:dyDescent="0.3">
      <c r="B19" s="78" t="s">
        <v>137</v>
      </c>
      <c r="C19" s="79" t="s">
        <v>227</v>
      </c>
    </row>
  </sheetData>
  <mergeCells count="3">
    <mergeCell ref="B3:C3"/>
    <mergeCell ref="E3:P3"/>
    <mergeCell ref="E8:R8"/>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97844-850F-4D6C-A559-814D48F08A5B}">
  <sheetPr codeName="Sheet5">
    <tabColor rgb="FFE883BB"/>
  </sheetPr>
  <dimension ref="A1:R102"/>
  <sheetViews>
    <sheetView showGridLines="0" tabSelected="1" topLeftCell="C1" zoomScale="80" zoomScaleNormal="80" workbookViewId="0">
      <selection activeCell="D20" sqref="D20"/>
    </sheetView>
  </sheetViews>
  <sheetFormatPr defaultColWidth="9.109375" defaultRowHeight="14.4" x14ac:dyDescent="0.3"/>
  <cols>
    <col min="1" max="1" width="3" style="3" customWidth="1"/>
    <col min="2" max="2" width="10.6640625" style="3" customWidth="1"/>
    <col min="3" max="3" width="38.88671875" style="3" bestFit="1" customWidth="1"/>
    <col min="4" max="4" width="37.5546875" style="3" customWidth="1"/>
    <col min="5" max="5" width="14.88671875" style="3" bestFit="1" customWidth="1"/>
    <col min="6" max="6" width="10" style="3" bestFit="1" customWidth="1"/>
    <col min="7" max="7" width="14" style="3" customWidth="1"/>
    <col min="8" max="8" width="20.6640625" style="3" bestFit="1" customWidth="1"/>
    <col min="9" max="10" width="12.33203125" style="3" bestFit="1" customWidth="1"/>
    <col min="11" max="12" width="13.33203125" style="3" customWidth="1"/>
    <col min="13" max="13" width="12.33203125" style="3" customWidth="1"/>
    <col min="14" max="14" width="13.6640625" style="3" customWidth="1"/>
    <col min="15" max="15" width="10.109375" style="3" bestFit="1" customWidth="1"/>
    <col min="16" max="16" width="12.33203125" style="3" customWidth="1"/>
    <col min="17" max="17" width="13.6640625" style="3" customWidth="1"/>
    <col min="18" max="18" width="10.109375" style="3" bestFit="1" customWidth="1"/>
    <col min="19" max="16384" width="9.109375" style="3"/>
  </cols>
  <sheetData>
    <row r="1" spans="2:5" s="2" customFormat="1" ht="47.4" customHeight="1" x14ac:dyDescent="0.3">
      <c r="B1" s="2" t="s">
        <v>228</v>
      </c>
    </row>
    <row r="2" spans="2:5" ht="15" customHeight="1" x14ac:dyDescent="0.3"/>
    <row r="3" spans="2:5" ht="24.6" customHeight="1" x14ac:dyDescent="0.3">
      <c r="B3" s="209" t="s">
        <v>229</v>
      </c>
      <c r="C3" s="209"/>
      <c r="D3" s="209"/>
      <c r="E3" s="209"/>
    </row>
    <row r="5" spans="2:5" x14ac:dyDescent="0.3">
      <c r="C5" s="80" t="s">
        <v>230</v>
      </c>
      <c r="D5" s="81" cm="1">
        <f t="array" aca="1" ref="D5" ca="1">current_date</f>
        <v>45666</v>
      </c>
    </row>
    <row r="6" spans="2:5" x14ac:dyDescent="0.3">
      <c r="C6" s="80" t="s">
        <v>231</v>
      </c>
      <c r="D6" s="81">
        <f>MAX(TrackingTable[Date])</f>
        <v>45560</v>
      </c>
    </row>
    <row r="7" spans="2:5" x14ac:dyDescent="0.3">
      <c r="C7" s="80" t="s">
        <v>232</v>
      </c>
      <c r="D7" s="33" t="str">
        <f ca="1">IF(D6=0, "", "( " &amp; _xlfn.DAYS(D5, D6) &amp; " days ago )")</f>
        <v>( 106 days ago )</v>
      </c>
    </row>
    <row r="8" spans="2:5" x14ac:dyDescent="0.3">
      <c r="C8" s="80" t="s">
        <v>233</v>
      </c>
      <c r="D8" s="33">
        <f>COUNT(TrackingTable[Date])</f>
        <v>45</v>
      </c>
    </row>
    <row r="9" spans="2:5" x14ac:dyDescent="0.3">
      <c r="C9" s="80" t="s">
        <v>234</v>
      </c>
      <c r="D9" s="33" t="str" cm="1">
        <f t="array" aca="1" ref="D9" ca="1">"( "&amp; SUMPRODUCT(--(YEAR(TrackingTable[Date])=YEAR(TODAY())))&amp;" this year )"</f>
        <v>( 0 this year )</v>
      </c>
    </row>
    <row r="10" spans="2:5" x14ac:dyDescent="0.3">
      <c r="C10" s="80" t="s">
        <v>235</v>
      </c>
      <c r="D10" s="82">
        <f>_xlfn.IFNA(INDEX(TrackingTable[Balance], MATCH(Calculations!D6,TrackingTable[Date],0)),"-")</f>
        <v>461000</v>
      </c>
    </row>
    <row r="11" spans="2:5" x14ac:dyDescent="0.3">
      <c r="C11" s="80" t="s">
        <v>236</v>
      </c>
      <c r="D11" s="33" t="str">
        <f>IF(D10&gt;=0, "Remaining Tracked Income to be Allocated", "Allocated Amount Exceeds Income")</f>
        <v>Remaining Tracked Income to be Allocated</v>
      </c>
    </row>
    <row r="14" spans="2:5" ht="24.6" customHeight="1" x14ac:dyDescent="0.3">
      <c r="B14" s="209" t="s">
        <v>237</v>
      </c>
      <c r="C14" s="209"/>
      <c r="D14" s="209"/>
      <c r="E14" s="209"/>
    </row>
    <row r="16" spans="2:5" x14ac:dyDescent="0.3">
      <c r="C16" s="80" t="s">
        <v>238</v>
      </c>
      <c r="D16" s="33">
        <f>IF('Budget Dashboard'!$AQ$4="Current Year", YEAR(DATEVALUE("12/06/2024")), 'Budget Dashboard'!$AQ$4)</f>
        <v>2024</v>
      </c>
    </row>
    <row r="17" spans="3:4" x14ac:dyDescent="0.3">
      <c r="C17" s="80" t="s">
        <v>239</v>
      </c>
      <c r="D17" s="33" t="str" cm="1">
        <f t="array" ref="D17">IF('Budget Dashboard'!$AQ$7="Total Year","Total Year",
    IF('Budget Dashboard'!$AQ$7="Current Month", MONTH(current_date),
    MONTH('Budget Dashboard'!$AQ$7)))</f>
        <v>Total Year</v>
      </c>
    </row>
    <row r="18" spans="3:4" x14ac:dyDescent="0.3">
      <c r="C18" s="83" t="s">
        <v>240</v>
      </c>
      <c r="D18" s="84" t="str">
        <f>IF(selected_period="Total Year", "Total Year", TEXT(DATE(selected_year, selected_period, 1), "mmmm"))</f>
        <v>Total Year</v>
      </c>
    </row>
    <row r="19" spans="3:4" x14ac:dyDescent="0.3">
      <c r="C19" s="80" t="s">
        <v>241</v>
      </c>
      <c r="D19" s="33">
        <f>IF(selected_period="Total Year", DATE(selected_year, 12, 31) - DATE(selected_year-1, 12, 31), DAY(EOMONTH(DATE(selected_year, selected_period, 1), 0)))</f>
        <v>366</v>
      </c>
    </row>
    <row r="20" spans="3:4" x14ac:dyDescent="0.3">
      <c r="C20" s="80" t="s">
        <v>242</v>
      </c>
      <c r="D20" s="33" cm="1">
        <f t="array" aca="1" ref="D20" ca="1">IF(selected_year=YEAR(current_date),
    IF(selected_period="Total Year",
        current_date-DATE(selected_year-1,12,31),
        IF(selected_period=MONTH(current_date),
            DAY(current_date),
            IF(selected_period&lt;MONTH(current_date), D19, 0)
        )
    ),
    IF(selected_year&lt;YEAR(current_date), D19, 0)
)</f>
        <v>366</v>
      </c>
    </row>
    <row r="21" spans="3:4" x14ac:dyDescent="0.3">
      <c r="C21" s="80" t="s">
        <v>243</v>
      </c>
      <c r="D21" s="85">
        <f ca="1">D20/D19</f>
        <v>1</v>
      </c>
    </row>
    <row r="22" spans="3:4" x14ac:dyDescent="0.3">
      <c r="C22" s="80" t="s">
        <v>244</v>
      </c>
      <c r="D22" s="82">
        <f ca="1">E41-(I41+M41)</f>
        <v>461000</v>
      </c>
    </row>
    <row r="23" spans="3:4" x14ac:dyDescent="0.3">
      <c r="C23" s="80" t="s">
        <v>236</v>
      </c>
      <c r="D23" s="33" t="str">
        <f ca="1">IF(D22&gt;=0, "Remaining Tracked Income to be Allocated", "Allocated Amount Exceeds Income")</f>
        <v>Remaining Tracked Income to be Allocated</v>
      </c>
    </row>
    <row r="24" spans="3:4" x14ac:dyDescent="0.3">
      <c r="C24" s="80" t="s">
        <v>245</v>
      </c>
      <c r="D24" s="86">
        <f ca="1">IFERROR(IF(savings_rate_calaculation_type="% allocated to Savings", M41/E41, (E41-I41)/E41), "-")</f>
        <v>5.5693069306930694E-2</v>
      </c>
    </row>
    <row r="32" spans="3:4" s="18" customFormat="1" ht="24.6" customHeight="1" thickBot="1" x14ac:dyDescent="0.35">
      <c r="C32" s="160" t="s">
        <v>276</v>
      </c>
      <c r="D32" s="161"/>
    </row>
    <row r="34" spans="3:15" x14ac:dyDescent="0.3">
      <c r="C34" s="87" t="s">
        <v>12</v>
      </c>
      <c r="D34" s="87" t="s">
        <v>41</v>
      </c>
      <c r="E34" s="87" t="s">
        <v>42</v>
      </c>
      <c r="G34" s="87" t="s">
        <v>246</v>
      </c>
      <c r="H34" s="87" t="s">
        <v>41</v>
      </c>
      <c r="I34" s="87" t="s">
        <v>42</v>
      </c>
      <c r="K34" s="87" t="s">
        <v>32</v>
      </c>
      <c r="L34" s="87" t="s">
        <v>41</v>
      </c>
      <c r="M34" s="87" t="s">
        <v>42</v>
      </c>
    </row>
    <row r="35" spans="3:15" x14ac:dyDescent="0.3">
      <c r="C35" s="34">
        <v>1</v>
      </c>
      <c r="D35" s="34" t="str" cm="1">
        <f t="array" aca="1" ref="D35" ca="1">IF(E35="","", INDEX('Budget Dashboard'!$J:$J, MATCH(income_header_row + Calculations!C35, 'Budget Dashboard'!$X:$X, 0)))</f>
        <v>Salary</v>
      </c>
      <c r="E35" s="88" cm="1">
        <f t="array" aca="1" ref="E35" ca="1">IF(C35&gt;COUNTA(Income[]), "",
    IF(INDEX('Budget Dashboard'!$K:$K, MATCH(income_header_row + Calculations!C35, 'Budget Dashboard'!$X:$X, 0))=0,"",
       INDEX('Budget Dashboard'!$K:$K, MATCH(income_header_row + Calculations!C35, 'Budget Dashboard'!$X:$X, 0))))</f>
        <v>800000</v>
      </c>
      <c r="G35" s="34">
        <v>1</v>
      </c>
      <c r="H35" s="34" t="str" cm="1">
        <f t="array" aca="1" ref="H35" ca="1">IF(I35="","", INDEX('Budget Dashboard'!$J:$J, MATCH(expenditure_header_row + Calculations!G35, 'Budget Dashboard'!$X:$X, 0)))</f>
        <v>Food</v>
      </c>
      <c r="I35" s="88" cm="1">
        <f t="array" aca="1" ref="I35" ca="1">IF(G35&gt;COUNTA(Expenditure[]), "",
    IF(INDEX('Budget Dashboard'!$K:$K, MATCH(expenditure_header_row + Calculations!G35, 'Budget Dashboard'!$X:$X, 0))=0,"",
       INDEX('Budget Dashboard'!$K:$K, MATCH(expenditure_header_row + Calculations!G35, 'Budget Dashboard'!$X:$X, 0))))</f>
        <v>180000</v>
      </c>
      <c r="K35" s="34">
        <v>1</v>
      </c>
      <c r="L35" s="34" t="str" cm="1">
        <f t="array" aca="1" ref="L35" ca="1">IF(M35="","", INDEX('Budget Dashboard'!$J:$J, MATCH(savings_header_row + Calculations!K35, 'Budget Dashboard'!$X:$X, 0)))</f>
        <v>Retirement</v>
      </c>
      <c r="M35" s="88" cm="1">
        <f t="array" aca="1" ref="M35" ca="1">IF(K35&gt;COUNTA(Savings[]), "",
    IF(INDEX('Budget Dashboard'!$K:$K, MATCH(savings_header_row + Calculations!K35, 'Budget Dashboard'!$X:$X, 0))=0,"",
       INDEX('Budget Dashboard'!$K:$K, MATCH(savings_header_row + Calculations!K35, 'Budget Dashboard'!$X:$X, 0))))</f>
        <v>25000</v>
      </c>
    </row>
    <row r="36" spans="3:15" x14ac:dyDescent="0.3">
      <c r="C36" s="34">
        <v>2</v>
      </c>
      <c r="D36" s="34" t="str" cm="1">
        <f t="array" aca="1" ref="D36" ca="1">IF(E36="","", INDEX('Budget Dashboard'!$J:$J, MATCH(income_header_row + Calculations!C36, 'Budget Dashboard'!$X:$X, 0)))</f>
        <v>Freelance/Contract Work</v>
      </c>
      <c r="E36" s="88" cm="1">
        <f t="array" aca="1" ref="E36" ca="1">IF(C36&gt;COUNTA(Income[]), "",
    IF(INDEX('Budget Dashboard'!$K:$K, MATCH(income_header_row + Calculations!C36, 'Budget Dashboard'!$X:$X, 0))=0,"",
       INDEX('Budget Dashboard'!$K:$K, MATCH(income_header_row + Calculations!C36, 'Budget Dashboard'!$X:$X, 0))))</f>
        <v>4000</v>
      </c>
      <c r="G36" s="34">
        <v>2</v>
      </c>
      <c r="H36" s="34" t="str" cm="1">
        <f t="array" aca="1" ref="H36" ca="1">IF(I36="","", INDEX('Budget Dashboard'!$J:$J, MATCH(expenditure_header_row + Calculations!G36, 'Budget Dashboard'!$X:$X, 0)))</f>
        <v>Housing</v>
      </c>
      <c r="I36" s="88" cm="1">
        <f t="array" aca="1" ref="I36" ca="1">IF(G36&gt;COUNTA(Expenditure[]), "",
    IF(INDEX('Budget Dashboard'!$K:$K, MATCH(expenditure_header_row + Calculations!G36, 'Budget Dashboard'!$X:$X, 0))=0,"",
       INDEX('Budget Dashboard'!$K:$K, MATCH(expenditure_header_row + Calculations!G36, 'Budget Dashboard'!$X:$X, 0))))</f>
        <v>100000</v>
      </c>
      <c r="K36" s="34">
        <v>2</v>
      </c>
      <c r="L36" s="34" t="str" cm="1">
        <f t="array" aca="1" ref="L36" ca="1">IF(M36="","", INDEX('Budget Dashboard'!$J:$J, MATCH(savings_header_row + Calculations!K36, 'Budget Dashboard'!$X:$X, 0)))</f>
        <v>Investment Savings</v>
      </c>
      <c r="M36" s="88" cm="1">
        <f t="array" aca="1" ref="M36" ca="1">IF(K36&gt;COUNTA(Savings[]), "",
    IF(INDEX('Budget Dashboard'!$K:$K, MATCH(savings_header_row + Calculations!K36, 'Budget Dashboard'!$X:$X, 0))=0,"",
       INDEX('Budget Dashboard'!$K:$K, MATCH(savings_header_row + Calculations!K36, 'Budget Dashboard'!$X:$X, 0))))</f>
        <v>20000</v>
      </c>
      <c r="O36" s="3" t="s">
        <v>52</v>
      </c>
    </row>
    <row r="37" spans="3:15" x14ac:dyDescent="0.3">
      <c r="C37" s="34">
        <v>3</v>
      </c>
      <c r="D37" s="34" t="str" cm="1">
        <f t="array" aca="1" ref="D37" ca="1">IF(E37="","", INDEX('Budget Dashboard'!$J:$J, MATCH(income_header_row + Calculations!C37, 'Budget Dashboard'!$X:$X, 0)))</f>
        <v>Shopify Store</v>
      </c>
      <c r="E37" s="88" cm="1">
        <f t="array" aca="1" ref="E37" ca="1">IF(C37&gt;COUNTA(Income[]), "",
    IF(INDEX('Budget Dashboard'!$K:$K, MATCH(income_header_row + Calculations!C37, 'Budget Dashboard'!$X:$X, 0))=0,"",
       INDEX('Budget Dashboard'!$K:$K, MATCH(income_header_row + Calculations!C37, 'Budget Dashboard'!$X:$X, 0))))</f>
        <v>2000</v>
      </c>
      <c r="G37" s="34">
        <v>3</v>
      </c>
      <c r="H37" s="34" t="str" cm="1">
        <f t="array" aca="1" ref="H37" ca="1">IF(I37="","", INDEX('Budget Dashboard'!$J:$J, MATCH(expenditure_header_row + Calculations!G37, 'Budget Dashboard'!$X:$X, 0)))</f>
        <v>Transpoartation</v>
      </c>
      <c r="I37" s="88" cm="1">
        <f t="array" aca="1" ref="I37" ca="1">IF(G37&gt;COUNTA(Expenditure[]), "",
    IF(INDEX('Budget Dashboard'!$K:$K, MATCH(expenditure_header_row + Calculations!G37, 'Budget Dashboard'!$X:$X, 0))=0,"",
       INDEX('Budget Dashboard'!$K:$K, MATCH(expenditure_header_row + Calculations!G37, 'Budget Dashboard'!$X:$X, 0))))</f>
        <v>5000</v>
      </c>
      <c r="K37" s="34">
        <v>3</v>
      </c>
      <c r="L37" s="34" t="str" cm="1">
        <f t="array" aca="1" ref="L37" ca="1">IF(M37="","", INDEX('Budget Dashboard'!$J:$J, MATCH(savings_header_row + Calculations!K37, 'Budget Dashboard'!$X:$X, 0)))</f>
        <v/>
      </c>
      <c r="M37" s="88" t="str" cm="1">
        <f t="array" aca="1" ref="M37" ca="1">IF(K37&gt;COUNTA(Savings[]), "",
    IF(INDEX('Budget Dashboard'!$K:$K, MATCH(savings_header_row + Calculations!K37, 'Budget Dashboard'!$X:$X, 0))=0,"",
       INDEX('Budget Dashboard'!$K:$K, MATCH(savings_header_row + Calculations!K37, 'Budget Dashboard'!$X:$X, 0))))</f>
        <v/>
      </c>
    </row>
    <row r="38" spans="3:15" x14ac:dyDescent="0.3">
      <c r="C38" s="34">
        <v>4</v>
      </c>
      <c r="D38" s="34" t="str" cm="1">
        <f t="array" aca="1" ref="D38" ca="1">IF(E38="","", INDEX('Budget Dashboard'!$J:$J, MATCH(income_header_row + Calculations!C38, 'Budget Dashboard'!$X:$X, 0)))</f>
        <v>Google Adscence</v>
      </c>
      <c r="E38" s="88" cm="1">
        <f t="array" aca="1" ref="E38" ca="1">IF(C38&gt;COUNTA(Income[]), "",
    IF(INDEX('Budget Dashboard'!$K:$K, MATCH(income_header_row + Calculations!C38, 'Budget Dashboard'!$X:$X, 0))=0,"",
       INDEX('Budget Dashboard'!$K:$K, MATCH(income_header_row + Calculations!C38, 'Budget Dashboard'!$X:$X, 0))))</f>
        <v>2000</v>
      </c>
      <c r="G38" s="34">
        <v>4</v>
      </c>
      <c r="H38" s="34" t="str" cm="1">
        <f t="array" aca="1" ref="H38" ca="1">IF(I38="","", INDEX('Budget Dashboard'!$J:$J, MATCH(expenditure_header_row + Calculations!G38, 'Budget Dashboard'!$X:$X, 0)))</f>
        <v/>
      </c>
      <c r="I38" s="88" t="str" cm="1">
        <f t="array" aca="1" ref="I38" ca="1">IF(G38&gt;COUNTA(Expenditure[]), "",
    IF(INDEX('Budget Dashboard'!$K:$K, MATCH(expenditure_header_row + Calculations!G38, 'Budget Dashboard'!$X:$X, 0))=0,"",
       INDEX('Budget Dashboard'!$K:$K, MATCH(expenditure_header_row + Calculations!G38, 'Budget Dashboard'!$X:$X, 0))))</f>
        <v/>
      </c>
      <c r="K38" s="34">
        <v>4</v>
      </c>
      <c r="L38" s="34" t="str" cm="1">
        <f t="array" aca="1" ref="L38" ca="1">IF(M38="","", INDEX('Budget Dashboard'!$J:$J, MATCH(savings_header_row + Calculations!K38, 'Budget Dashboard'!$X:$X, 0)))</f>
        <v/>
      </c>
      <c r="M38" s="88" t="str" cm="1">
        <f t="array" aca="1" ref="M38" ca="1">IF(K38&gt;COUNTA(Savings[]), "",
    IF(INDEX('Budget Dashboard'!$K:$K, MATCH(savings_header_row + Calculations!K38, 'Budget Dashboard'!$X:$X, 0))=0,"",
       INDEX('Budget Dashboard'!$K:$K, MATCH(savings_header_row + Calculations!K38, 'Budget Dashboard'!$X:$X, 0))))</f>
        <v/>
      </c>
    </row>
    <row r="39" spans="3:15" x14ac:dyDescent="0.3">
      <c r="C39" s="34">
        <v>5</v>
      </c>
      <c r="D39" s="34" t="str" cm="1">
        <f t="array" aca="1" ref="D39" ca="1">IF(E39="","", INDEX('Budget Dashboard'!$J:$J, MATCH(income_header_row + Calculations!C39, 'Budget Dashboard'!$X:$X, 0)))</f>
        <v/>
      </c>
      <c r="E39" s="88" t="str" cm="1">
        <f t="array" aca="1" ref="E39" ca="1">IF(C39&gt;COUNTA(Income[]), "",
    IF(INDEX('Budget Dashboard'!$K:$K, MATCH(income_header_row + Calculations!C39, 'Budget Dashboard'!$X:$X, 0))=0,"",
       INDEX('Budget Dashboard'!$K:$K, MATCH(income_header_row + Calculations!C39, 'Budget Dashboard'!$X:$X, 0))))</f>
        <v/>
      </c>
      <c r="G39" s="34">
        <v>5</v>
      </c>
      <c r="H39" s="34" t="str" cm="1">
        <f t="array" aca="1" ref="H39" ca="1">IF(I39="","", INDEX('Budget Dashboard'!$J:$J, MATCH(expenditure_header_row + Calculations!G39, 'Budget Dashboard'!$X:$X, 0)))</f>
        <v/>
      </c>
      <c r="I39" s="88" t="str" cm="1">
        <f t="array" aca="1" ref="I39" ca="1">IF(G39&gt;COUNTA(Expenditure[]), "",
    IF(INDEX('Budget Dashboard'!$K:$K, MATCH(expenditure_header_row + Calculations!G39, 'Budget Dashboard'!$X:$X, 0))=0,"",
       INDEX('Budget Dashboard'!$K:$K, MATCH(expenditure_header_row + Calculations!G39, 'Budget Dashboard'!$X:$X, 0))))</f>
        <v/>
      </c>
      <c r="K39" s="34">
        <v>5</v>
      </c>
      <c r="L39" s="34" t="str" cm="1">
        <f t="array" aca="1" ref="L39" ca="1">IF(M39="","", INDEX('Budget Dashboard'!$J:$J, MATCH(savings_header_row + Calculations!K39, 'Budget Dashboard'!$X:$X, 0)))</f>
        <v/>
      </c>
      <c r="M39" s="88" t="str" cm="1">
        <f t="array" aca="1" ref="M39" ca="1">IF(K39&gt;COUNTA(Savings[]), "",
    IF(INDEX('Budget Dashboard'!$K:$K, MATCH(savings_header_row + Calculations!K39, 'Budget Dashboard'!$X:$X, 0))=0,"",
       INDEX('Budget Dashboard'!$K:$K, MATCH(savings_header_row + Calculations!K39, 'Budget Dashboard'!$X:$X, 0))))</f>
        <v/>
      </c>
    </row>
    <row r="40" spans="3:15" ht="15" thickBot="1" x14ac:dyDescent="0.35">
      <c r="C40" s="89">
        <v>6</v>
      </c>
      <c r="D40" s="89" t="str">
        <f ca="1">IF(E40="","","Other")</f>
        <v/>
      </c>
      <c r="E40" s="90" t="str">
        <f ca="1">IF(E41-SUM(E35:E39)=0,"",E41-SUM(E35:E39))</f>
        <v/>
      </c>
      <c r="G40" s="89">
        <v>6</v>
      </c>
      <c r="H40" s="89" t="str">
        <f ca="1">IF(I40="","","Other")</f>
        <v>Other</v>
      </c>
      <c r="I40" s="90">
        <f ca="1">IF(I41-SUM(I35:I39)=0,"",I41-SUM(I35:I39))</f>
        <v>17000</v>
      </c>
      <c r="K40" s="89">
        <v>6</v>
      </c>
      <c r="L40" s="89" t="str">
        <f ca="1">IF(M40="","","Other")</f>
        <v/>
      </c>
      <c r="M40" s="90" t="str">
        <f ca="1">IF(M41-SUM(M35:M39)=0,"",M41-SUM(M35:M39))</f>
        <v/>
      </c>
    </row>
    <row r="41" spans="3:15" ht="15" thickTop="1" x14ac:dyDescent="0.3">
      <c r="C41" s="34"/>
      <c r="D41" s="91" t="s">
        <v>16</v>
      </c>
      <c r="E41" s="92" cm="1">
        <f t="array" aca="1" ref="E41" ca="1">INDEX('Budget Dashboard'!$K:$K, MATCH(income_total_row, 'Budget Dashboard'!$X:$X, 0))</f>
        <v>808000</v>
      </c>
      <c r="G41" s="34"/>
      <c r="H41" s="91" t="s">
        <v>16</v>
      </c>
      <c r="I41" s="92" cm="1">
        <f t="array" aca="1" ref="I41" ca="1">INDEX('Budget Dashboard'!$K:$K, MATCH(expenditure_total_row, 'Budget Dashboard'!$X:$X, 0))</f>
        <v>302000</v>
      </c>
      <c r="K41" s="34"/>
      <c r="L41" s="91" t="s">
        <v>16</v>
      </c>
      <c r="M41" s="92" cm="1">
        <f t="array" aca="1" ref="M41" ca="1">INDEX('Budget Dashboard'!$K:$K, MATCH(savings_total_row, 'Budget Dashboard'!$X:$X, 0))</f>
        <v>45000</v>
      </c>
    </row>
    <row r="47" spans="3:15" s="18" customFormat="1" ht="24.6" customHeight="1" thickBot="1" x14ac:dyDescent="0.35">
      <c r="C47" s="160" t="s">
        <v>277</v>
      </c>
      <c r="D47" s="161"/>
      <c r="E47" s="161"/>
      <c r="F47" s="161"/>
      <c r="G47" s="161"/>
      <c r="H47" s="161"/>
      <c r="I47" s="161"/>
      <c r="J47" s="161"/>
      <c r="K47" s="161"/>
      <c r="L47" s="161"/>
      <c r="M47" s="161"/>
    </row>
    <row r="49" spans="1:18" x14ac:dyDescent="0.3">
      <c r="C49" s="93" t="s">
        <v>247</v>
      </c>
      <c r="D49" s="3" t="b">
        <v>1</v>
      </c>
    </row>
    <row r="50" spans="1:18" x14ac:dyDescent="0.3">
      <c r="C50" s="93" t="s">
        <v>248</v>
      </c>
      <c r="D50" s="3" t="b">
        <v>1</v>
      </c>
    </row>
    <row r="51" spans="1:18" x14ac:dyDescent="0.3">
      <c r="C51" s="93" t="s">
        <v>249</v>
      </c>
      <c r="D51" s="3" t="b">
        <v>1</v>
      </c>
    </row>
    <row r="52" spans="1:18" x14ac:dyDescent="0.3">
      <c r="C52" s="93" t="s">
        <v>250</v>
      </c>
      <c r="D52" s="3" t="b">
        <v>1</v>
      </c>
    </row>
    <row r="53" spans="1:18" ht="21" customHeight="1" x14ac:dyDescent="0.3">
      <c r="M53" s="199" t="s">
        <v>251</v>
      </c>
      <c r="N53" s="199"/>
      <c r="O53" s="199"/>
      <c r="P53" s="210" t="s">
        <v>252</v>
      </c>
      <c r="Q53" s="210"/>
      <c r="R53" s="210"/>
    </row>
    <row r="54" spans="1:18" s="94" customFormat="1" ht="24.6" customHeight="1" thickBot="1" x14ac:dyDescent="0.35">
      <c r="A54" s="159"/>
      <c r="B54" s="159"/>
      <c r="C54" s="94" t="s">
        <v>253</v>
      </c>
      <c r="D54" s="94" t="s">
        <v>40</v>
      </c>
      <c r="E54" s="94" t="s">
        <v>254</v>
      </c>
      <c r="F54" s="94" t="s">
        <v>255</v>
      </c>
      <c r="G54" s="94" t="s">
        <v>256</v>
      </c>
      <c r="H54" s="94" t="s">
        <v>257</v>
      </c>
      <c r="I54" s="94" t="s">
        <v>258</v>
      </c>
      <c r="J54" s="94" t="s">
        <v>259</v>
      </c>
      <c r="K54" s="94" t="s">
        <v>260</v>
      </c>
      <c r="M54" s="94" t="s">
        <v>261</v>
      </c>
      <c r="N54" s="94" t="s">
        <v>262</v>
      </c>
      <c r="O54" s="94" t="s">
        <v>263</v>
      </c>
      <c r="P54" s="94" t="s">
        <v>261</v>
      </c>
      <c r="Q54" s="94" t="s">
        <v>262</v>
      </c>
      <c r="R54" s="94" t="s">
        <v>263</v>
      </c>
    </row>
    <row r="55" spans="1:18" x14ac:dyDescent="0.3">
      <c r="C55" s="211">
        <f>DATE(selected_year,1,1)</f>
        <v>45292</v>
      </c>
      <c r="D55" s="34" t="s">
        <v>12</v>
      </c>
      <c r="E55" s="34">
        <f>MONTH(C55)</f>
        <v>1</v>
      </c>
      <c r="F55" s="34">
        <f>IF(selected_period="Total Year", 1, IF(selected_period=cc_month_Number, 1, 0))</f>
        <v>1</v>
      </c>
      <c r="G55" s="34">
        <f>1*$D$49</f>
        <v>1</v>
      </c>
      <c r="H55" s="34">
        <f>1*$D$52</f>
        <v>1</v>
      </c>
      <c r="I55" s="95" cm="1">
        <f t="array" ref="I55" xml:space="preserve"> SUM(TrackingTable[Amount] * (TrackingTable[Type]= cc_type) * (YEAR(TrackingTable[Effective Date])=selected_year) * (MONTH(TrackingTable[Effective Date])=cc_month_Number))</f>
        <v>100000</v>
      </c>
      <c r="J55" s="95" cm="1">
        <f t="array" aca="1" ref="J55" ca="1">INDEX('Budget Plannning'!$D:$GB, income_total_row, MATCH(DATE(selected_year, cc_month_Number, 1), 'Budget Plannning'!$D$7:$GB$7, 0))</f>
        <v>170000</v>
      </c>
      <c r="K55" s="95">
        <f ca="1">cc_Budget-cc_tracked</f>
        <v>70000</v>
      </c>
      <c r="L55" s="34"/>
      <c r="M55" s="95">
        <f ca="1">cc_In_Focus*cc_Show_Type*MIN(cc_tracked, cc_Budget)</f>
        <v>100000</v>
      </c>
      <c r="N55" s="95">
        <f ca="1">cc_In_Focus*cc_Show_Type*cc_Show_Remaining_Budget*IF(cc_Delta&gt;0, cc_Delta, 0)</f>
        <v>70000</v>
      </c>
      <c r="O55" s="95">
        <f ca="1">cc_In_Focus*cc_Show_Type*IF(cc_Delta&lt;0,ABS(cc_Delta),0)</f>
        <v>0</v>
      </c>
      <c r="P55" s="95">
        <f ca="1">NOT(cc_In_Focus)*cc_Show_Type*MIN(cc_tracked, cc_Budget)</f>
        <v>0</v>
      </c>
      <c r="Q55" s="95">
        <f ca="1">NOT(cc_In_Focus)*cc_Show_Type*cc_Show_Remaining_Budget*IF(cc_Delta&gt;0, cc_Delta, 0)</f>
        <v>0</v>
      </c>
      <c r="R55" s="95">
        <f ca="1">NOT(cc_In_Focus)*cc_Show_Type*IF(cc_Delta&lt;0,ABS(cc_Delta),0)</f>
        <v>0</v>
      </c>
    </row>
    <row r="56" spans="1:18" x14ac:dyDescent="0.3">
      <c r="C56" s="212"/>
      <c r="D56" s="34" t="s">
        <v>17</v>
      </c>
      <c r="E56" s="34">
        <f>MONTH(C55)</f>
        <v>1</v>
      </c>
      <c r="F56" s="34">
        <f>IF(selected_period="Total Year", 1, IF(selected_period=cc_month_Number, 1, 0))</f>
        <v>1</v>
      </c>
      <c r="G56" s="34">
        <f>1*$D$50</f>
        <v>1</v>
      </c>
      <c r="H56" s="34">
        <f>1*$D$52</f>
        <v>1</v>
      </c>
      <c r="I56" s="95" cm="1">
        <f t="array" ref="I56" xml:space="preserve"> SUM(TrackingTable[Amount] * (TrackingTable[Type]= cc_type) * (YEAR(TrackingTable[Effective Date])=selected_year) * (MONTH(TrackingTable[Effective Date])=cc_month_Number))</f>
        <v>22000</v>
      </c>
      <c r="J56" s="95" cm="1">
        <f t="array" aca="1" ref="J56" ca="1">INDEX('Budget Plannning'!$D:$GB, expenditure_total_row, MATCH(DATE(selected_year, cc_month_Number, 1), 'Budget Plannning'!$D$7:$GB$7, 0))</f>
        <v>162000</v>
      </c>
      <c r="K56" s="95">
        <f ca="1">cc_Budget-cc_tracked</f>
        <v>140000</v>
      </c>
      <c r="L56" s="34"/>
      <c r="M56" s="95">
        <f ca="1">cc_In_Focus*cc_Show_Type*MIN(cc_tracked, cc_Budget)</f>
        <v>22000</v>
      </c>
      <c r="N56" s="95">
        <f ca="1">cc_In_Focus*cc_Show_Type*cc_Show_Remaining_Budget*IF(cc_Delta&gt;0, cc_Delta, 0)</f>
        <v>140000</v>
      </c>
      <c r="O56" s="95">
        <f ca="1">cc_In_Focus*cc_Show_Type*IF(cc_Delta&lt;0,ABS(cc_Delta),0)</f>
        <v>0</v>
      </c>
      <c r="P56" s="95">
        <f ca="1">NOT(cc_In_Focus)*cc_Show_Type*MIN(cc_tracked, cc_Budget)</f>
        <v>0</v>
      </c>
      <c r="Q56" s="95">
        <f ca="1">NOT(cc_In_Focus)*cc_Show_Type*cc_Show_Remaining_Budget*IF(cc_Delta&gt;0, cc_Delta, 0)</f>
        <v>0</v>
      </c>
      <c r="R56" s="95">
        <f ca="1">NOT(cc_In_Focus)*cc_Show_Type*IF(cc_Delta&lt;0,ABS(cc_Delta),0)</f>
        <v>0</v>
      </c>
    </row>
    <row r="57" spans="1:18" x14ac:dyDescent="0.3">
      <c r="C57" s="212"/>
      <c r="D57" s="34" t="s">
        <v>32</v>
      </c>
      <c r="E57" s="34">
        <f>MONTH(C55)</f>
        <v>1</v>
      </c>
      <c r="F57" s="34">
        <f>IF(selected_period="Total Year", 1, IF(selected_period=cc_month_Number, 1, 0))</f>
        <v>1</v>
      </c>
      <c r="G57" s="34">
        <f>1*$D$51</f>
        <v>1</v>
      </c>
      <c r="H57" s="34">
        <f>1*$D$52</f>
        <v>1</v>
      </c>
      <c r="I57" s="95" cm="1">
        <f t="array" ref="I57" xml:space="preserve"> SUM(TrackingTable[Amount] * (TrackingTable[Type]= cc_type) * (YEAR(TrackingTable[Effective Date])=selected_year) * (MONTH(TrackingTable[Effective Date])=cc_month_Number))</f>
        <v>0</v>
      </c>
      <c r="J57" s="95" cm="1">
        <f t="array" aca="1" ref="J57" ca="1">INDEX('Budget Plannning'!$D:$GB, savings_total_row, MATCH(DATE(selected_year, cc_month_Number, 1), 'Budget Plannning'!$D$7:$GB$7, 0))</f>
        <v>4000</v>
      </c>
      <c r="K57" s="95">
        <f ca="1">cc_Budget-cc_tracked</f>
        <v>4000</v>
      </c>
      <c r="L57" s="34"/>
      <c r="M57" s="95">
        <f ca="1">cc_In_Focus*cc_Show_Type*MIN(cc_tracked, cc_Budget)</f>
        <v>0</v>
      </c>
      <c r="N57" s="95">
        <f ca="1">cc_In_Focus*cc_Show_Type*cc_Show_Remaining_Budget*IF(cc_Delta&gt;0, cc_Delta, 0)</f>
        <v>4000</v>
      </c>
      <c r="O57" s="95">
        <f ca="1">cc_In_Focus*cc_Show_Type*IF(cc_Delta&lt;0,ABS(cc_Delta),0)</f>
        <v>0</v>
      </c>
      <c r="P57" s="95">
        <f ca="1">NOT(cc_In_Focus)*cc_Show_Type*MIN(cc_tracked, cc_Budget)</f>
        <v>0</v>
      </c>
      <c r="Q57" s="95">
        <f ca="1">NOT(cc_In_Focus)*cc_Show_Type*cc_Show_Remaining_Budget*IF(cc_Delta&gt;0, cc_Delta, 0)</f>
        <v>0</v>
      </c>
      <c r="R57" s="95">
        <f ca="1">NOT(cc_In_Focus)*cc_Show_Type*IF(cc_Delta&lt;0,ABS(cc_Delta),0)</f>
        <v>0</v>
      </c>
    </row>
    <row r="58" spans="1:18" ht="15" thickBot="1" x14ac:dyDescent="0.35">
      <c r="C58" s="213"/>
      <c r="D58" s="96"/>
      <c r="E58" s="96"/>
      <c r="F58" s="96"/>
      <c r="G58" s="96"/>
      <c r="H58" s="96"/>
      <c r="I58" s="97"/>
      <c r="J58" s="97"/>
      <c r="K58" s="97"/>
      <c r="L58" s="96"/>
      <c r="M58" s="96"/>
      <c r="N58" s="96"/>
      <c r="O58" s="96"/>
      <c r="P58" s="96"/>
      <c r="Q58" s="96"/>
      <c r="R58" s="96"/>
    </row>
    <row r="59" spans="1:18" x14ac:dyDescent="0.3">
      <c r="C59" s="211">
        <f>DATE(selected_year,2,1)</f>
        <v>45323</v>
      </c>
      <c r="D59" s="98" t="s">
        <v>12</v>
      </c>
      <c r="E59" s="34">
        <f>MONTH(C59)</f>
        <v>2</v>
      </c>
      <c r="F59" s="34">
        <f>IF(selected_period="Total Year", 1, IF(selected_period=cc_month_Number, 1, 0))</f>
        <v>1</v>
      </c>
      <c r="G59" s="34">
        <f>1*$D$49</f>
        <v>1</v>
      </c>
      <c r="H59" s="34">
        <f t="shared" ref="H59:H101" si="0">1*$D$52</f>
        <v>1</v>
      </c>
      <c r="I59" s="95" cm="1">
        <f t="array" ref="I59" xml:space="preserve"> SUM(TrackingTable[Amount] * (TrackingTable[Type]= cc_type) * (YEAR(TrackingTable[Effective Date])=selected_year) * (MONTH(TrackingTable[Effective Date])=cc_month_Number))</f>
        <v>0</v>
      </c>
      <c r="J59" s="95" cm="1">
        <f t="array" aca="1" ref="J59" ca="1">INDEX('Budget Plannning'!$D:$GB, income_total_row, MATCH(DATE(selected_year, cc_month_Number, 1), 'Budget Plannning'!$D$7:$GB$7, 0))</f>
        <v>170000</v>
      </c>
      <c r="K59" s="95">
        <f ca="1">cc_Budget-cc_tracked</f>
        <v>170000</v>
      </c>
      <c r="L59" s="98"/>
      <c r="M59" s="95">
        <f ca="1">cc_In_Focus*cc_Show_Type*MIN(cc_tracked, cc_Budget)</f>
        <v>0</v>
      </c>
      <c r="N59" s="95">
        <f ca="1">cc_In_Focus*cc_Show_Type*cc_Show_Remaining_Budget*IF(cc_Delta&gt;0, cc_Delta, 0)</f>
        <v>170000</v>
      </c>
      <c r="O59" s="95">
        <f ca="1">cc_In_Focus*cc_Show_Type*IF(cc_Delta&lt;0,ABS(cc_Delta),0)</f>
        <v>0</v>
      </c>
      <c r="P59" s="95">
        <f ca="1">NOT(cc_In_Focus)*cc_Show_Type*MIN(cc_tracked, cc_Budget)</f>
        <v>0</v>
      </c>
      <c r="Q59" s="95">
        <f ca="1">NOT(cc_In_Focus)*cc_Show_Type*cc_Show_Remaining_Budget*IF(cc_Delta&gt;0, cc_Delta, 0)</f>
        <v>0</v>
      </c>
      <c r="R59" s="95">
        <f ca="1">NOT(cc_In_Focus)*cc_Show_Type*IF(cc_Delta&lt;0,ABS(cc_Delta),0)</f>
        <v>0</v>
      </c>
    </row>
    <row r="60" spans="1:18" x14ac:dyDescent="0.3">
      <c r="C60" s="212"/>
      <c r="D60" s="34" t="s">
        <v>17</v>
      </c>
      <c r="E60" s="34">
        <f>MONTH(C59)</f>
        <v>2</v>
      </c>
      <c r="F60" s="34">
        <f>IF(selected_period="Total Year", 1, IF(selected_period=cc_month_Number, 1, 0))</f>
        <v>1</v>
      </c>
      <c r="G60" s="34">
        <f>1*$D$50</f>
        <v>1</v>
      </c>
      <c r="H60" s="34">
        <f t="shared" si="0"/>
        <v>1</v>
      </c>
      <c r="I60" s="95" cm="1">
        <f t="array" ref="I60" xml:space="preserve"> SUM(TrackingTable[Amount] * (TrackingTable[Type]= cc_type) * (YEAR(TrackingTable[Effective Date])=selected_year) * (MONTH(TrackingTable[Effective Date])=cc_month_Number))</f>
        <v>22000</v>
      </c>
      <c r="J60" s="95" cm="1">
        <f t="array" aca="1" ref="J60" ca="1">INDEX('Budget Plannning'!$D:$GB, expenditure_total_row, MATCH(DATE(selected_year, cc_month_Number, 1), 'Budget Plannning'!$D$7:$GB$7, 0))</f>
        <v>132000</v>
      </c>
      <c r="K60" s="95">
        <f ca="1">cc_Budget-cc_tracked</f>
        <v>110000</v>
      </c>
      <c r="L60" s="34"/>
      <c r="M60" s="95">
        <f ca="1">cc_In_Focus*cc_Show_Type*MIN(cc_tracked, cc_Budget)</f>
        <v>22000</v>
      </c>
      <c r="N60" s="95">
        <f ca="1">cc_In_Focus*cc_Show_Type*cc_Show_Remaining_Budget*IF(cc_Delta&gt;0, cc_Delta, 0)</f>
        <v>110000</v>
      </c>
      <c r="O60" s="95">
        <f ca="1">cc_In_Focus*cc_Show_Type*IF(cc_Delta&lt;0,ABS(cc_Delta),0)</f>
        <v>0</v>
      </c>
      <c r="P60" s="95">
        <f ca="1">NOT(cc_In_Focus)*cc_Show_Type*MIN(cc_tracked, cc_Budget)</f>
        <v>0</v>
      </c>
      <c r="Q60" s="95">
        <f ca="1">NOT(cc_In_Focus)*cc_Show_Type*cc_Show_Remaining_Budget*IF(cc_Delta&gt;0, cc_Delta, 0)</f>
        <v>0</v>
      </c>
      <c r="R60" s="95">
        <f ca="1">NOT(cc_In_Focus)*cc_Show_Type*IF(cc_Delta&lt;0,ABS(cc_Delta),0)</f>
        <v>0</v>
      </c>
    </row>
    <row r="61" spans="1:18" x14ac:dyDescent="0.3">
      <c r="C61" s="212"/>
      <c r="D61" s="34" t="s">
        <v>32</v>
      </c>
      <c r="E61" s="34">
        <f>MONTH(C59)</f>
        <v>2</v>
      </c>
      <c r="F61" s="34">
        <f>IF(selected_period="Total Year", 1, IF(selected_period=cc_month_Number, 1, 0))</f>
        <v>1</v>
      </c>
      <c r="G61" s="34">
        <f>1*$D$51</f>
        <v>1</v>
      </c>
      <c r="H61" s="34">
        <f t="shared" si="0"/>
        <v>1</v>
      </c>
      <c r="I61" s="95" cm="1">
        <f t="array" ref="I61" xml:space="preserve"> SUM(TrackingTable[Amount] * (TrackingTable[Type]= cc_type) * (YEAR(TrackingTable[Effective Date])=selected_year) * (MONTH(TrackingTable[Effective Date])=cc_month_Number))</f>
        <v>0</v>
      </c>
      <c r="J61" s="95" cm="1">
        <f t="array" aca="1" ref="J61" ca="1">INDEX('Budget Plannning'!$D:$GB, savings_total_row, MATCH(DATE(selected_year, cc_month_Number, 1), 'Budget Plannning'!$D$7:$GB$7, 0))</f>
        <v>22000</v>
      </c>
      <c r="K61" s="95">
        <f ca="1">cc_Budget-cc_tracked</f>
        <v>22000</v>
      </c>
      <c r="L61" s="34"/>
      <c r="M61" s="95">
        <f ca="1">cc_In_Focus*cc_Show_Type*MIN(cc_tracked, cc_Budget)</f>
        <v>0</v>
      </c>
      <c r="N61" s="95">
        <f ca="1">cc_In_Focus*cc_Show_Type*cc_Show_Remaining_Budget*IF(cc_Delta&gt;0, cc_Delta, 0)</f>
        <v>22000</v>
      </c>
      <c r="O61" s="95">
        <f ca="1">cc_In_Focus*cc_Show_Type*IF(cc_Delta&lt;0,ABS(cc_Delta),0)</f>
        <v>0</v>
      </c>
      <c r="P61" s="95">
        <f ca="1">NOT(cc_In_Focus)*cc_Show_Type*MIN(cc_tracked, cc_Budget)</f>
        <v>0</v>
      </c>
      <c r="Q61" s="95">
        <f ca="1">NOT(cc_In_Focus)*cc_Show_Type*cc_Show_Remaining_Budget*IF(cc_Delta&gt;0, cc_Delta, 0)</f>
        <v>0</v>
      </c>
      <c r="R61" s="95">
        <f ca="1">NOT(cc_In_Focus)*cc_Show_Type*IF(cc_Delta&lt;0,ABS(cc_Delta),0)</f>
        <v>0</v>
      </c>
    </row>
    <row r="62" spans="1:18" ht="15" thickBot="1" x14ac:dyDescent="0.35">
      <c r="C62" s="213"/>
      <c r="D62" s="96"/>
      <c r="E62" s="96"/>
      <c r="F62" s="96"/>
      <c r="G62" s="96"/>
      <c r="H62" s="96"/>
      <c r="I62" s="97"/>
      <c r="J62" s="97"/>
      <c r="K62" s="97"/>
      <c r="L62" s="96"/>
      <c r="M62" s="96"/>
      <c r="N62" s="96"/>
      <c r="O62" s="96"/>
      <c r="P62" s="96"/>
      <c r="Q62" s="96"/>
      <c r="R62" s="96"/>
    </row>
    <row r="63" spans="1:18" x14ac:dyDescent="0.3">
      <c r="C63" s="211">
        <f>DATE(selected_year,3,1)</f>
        <v>45352</v>
      </c>
      <c r="D63" s="98" t="s">
        <v>12</v>
      </c>
      <c r="E63" s="34">
        <f>MONTH(C63)</f>
        <v>3</v>
      </c>
      <c r="F63" s="34">
        <f>IF(selected_period="Total Year", 1, IF(selected_period=cc_month_Number, 1, 0))</f>
        <v>1</v>
      </c>
      <c r="G63" s="34">
        <f>1*$D$49</f>
        <v>1</v>
      </c>
      <c r="H63" s="34">
        <f>1*$D$52</f>
        <v>1</v>
      </c>
      <c r="I63" s="95" cm="1">
        <f t="array" ref="I63" xml:space="preserve"> SUM(TrackingTable[Amount] * (TrackingTable[Type]= cc_type) * (YEAR(TrackingTable[Effective Date])=selected_year) * (MONTH(TrackingTable[Effective Date])=cc_month_Number))</f>
        <v>200000</v>
      </c>
      <c r="J63" s="95" cm="1">
        <f t="array" aca="1" ref="J63" ca="1">INDEX('Budget Plannning'!$D:$GB, income_total_row, MATCH(DATE(selected_year, cc_month_Number, 1), 'Budget Plannning'!$D$7:$GB$7, 0))</f>
        <v>170000</v>
      </c>
      <c r="K63" s="95">
        <f ca="1">cc_Budget-cc_tracked</f>
        <v>-30000</v>
      </c>
      <c r="L63" s="98"/>
      <c r="M63" s="95">
        <f ca="1">cc_In_Focus*cc_Show_Type*MIN(cc_tracked, cc_Budget)</f>
        <v>170000</v>
      </c>
      <c r="N63" s="95">
        <f ca="1">cc_In_Focus*cc_Show_Type*cc_Show_Remaining_Budget*IF(cc_Delta&gt;0, cc_Delta, 0)</f>
        <v>0</v>
      </c>
      <c r="O63" s="95">
        <f ca="1">cc_In_Focus*cc_Show_Type*IF(cc_Delta&lt;0,ABS(cc_Delta),0)</f>
        <v>30000</v>
      </c>
      <c r="P63" s="95">
        <f ca="1">NOT(cc_In_Focus)*cc_Show_Type*MIN(cc_tracked, cc_Budget)</f>
        <v>0</v>
      </c>
      <c r="Q63" s="95">
        <f ca="1">NOT(cc_In_Focus)*cc_Show_Type*cc_Show_Remaining_Budget*IF(cc_Delta&gt;0, cc_Delta, 0)</f>
        <v>0</v>
      </c>
      <c r="R63" s="95">
        <f ca="1">NOT(cc_In_Focus)*cc_Show_Type*IF(cc_Delta&lt;0,ABS(cc_Delta),0)</f>
        <v>0</v>
      </c>
    </row>
    <row r="64" spans="1:18" x14ac:dyDescent="0.3">
      <c r="C64" s="212"/>
      <c r="D64" s="34" t="s">
        <v>17</v>
      </c>
      <c r="E64" s="34">
        <f>MONTH(C63)</f>
        <v>3</v>
      </c>
      <c r="F64" s="34">
        <f>IF(selected_period="Total Year", 1, IF(selected_period=cc_month_Number, 1, 0))</f>
        <v>1</v>
      </c>
      <c r="G64" s="34">
        <f>1*$D$50</f>
        <v>1</v>
      </c>
      <c r="H64" s="34">
        <f t="shared" si="0"/>
        <v>1</v>
      </c>
      <c r="I64" s="95" cm="1">
        <f t="array" ref="I64" xml:space="preserve"> SUM(TrackingTable[Amount] * (TrackingTable[Type]= cc_type) * (YEAR(TrackingTable[Effective Date])=selected_year) * (MONTH(TrackingTable[Effective Date])=cc_month_Number))</f>
        <v>72000</v>
      </c>
      <c r="J64" s="95" cm="1">
        <f t="array" aca="1" ref="J64" ca="1">INDEX('Budget Plannning'!$D:$GB, expenditure_total_row, MATCH(DATE(selected_year, cc_month_Number, 1), 'Budget Plannning'!$D$7:$GB$7, 0))</f>
        <v>132000</v>
      </c>
      <c r="K64" s="95">
        <f ca="1">cc_Budget-cc_tracked</f>
        <v>60000</v>
      </c>
      <c r="L64" s="34"/>
      <c r="M64" s="95">
        <f ca="1">cc_In_Focus*cc_Show_Type*MIN(cc_tracked, cc_Budget)</f>
        <v>72000</v>
      </c>
      <c r="N64" s="95">
        <f ca="1">cc_In_Focus*cc_Show_Type*cc_Show_Remaining_Budget*IF(cc_Delta&gt;0, cc_Delta, 0)</f>
        <v>60000</v>
      </c>
      <c r="O64" s="95">
        <f ca="1">cc_In_Focus*cc_Show_Type*IF(cc_Delta&lt;0,ABS(cc_Delta),0)</f>
        <v>0</v>
      </c>
      <c r="P64" s="95">
        <f ca="1">NOT(cc_In_Focus)*cc_Show_Type*MIN(cc_tracked, cc_Budget)</f>
        <v>0</v>
      </c>
      <c r="Q64" s="95">
        <f ca="1">NOT(cc_In_Focus)*cc_Show_Type*cc_Show_Remaining_Budget*IF(cc_Delta&gt;0, cc_Delta, 0)</f>
        <v>0</v>
      </c>
      <c r="R64" s="95">
        <f ca="1">NOT(cc_In_Focus)*cc_Show_Type*IF(cc_Delta&lt;0,ABS(cc_Delta),0)</f>
        <v>0</v>
      </c>
    </row>
    <row r="65" spans="3:18" x14ac:dyDescent="0.3">
      <c r="C65" s="212"/>
      <c r="D65" s="34" t="s">
        <v>32</v>
      </c>
      <c r="E65" s="34">
        <f>MONTH(C63)</f>
        <v>3</v>
      </c>
      <c r="F65" s="34">
        <f>IF(selected_period="Total Year", 1, IF(selected_period=cc_month_Number, 1, 0))</f>
        <v>1</v>
      </c>
      <c r="G65" s="34">
        <f>1*$D$51</f>
        <v>1</v>
      </c>
      <c r="H65" s="34">
        <f t="shared" si="0"/>
        <v>1</v>
      </c>
      <c r="I65" s="95" cm="1">
        <f t="array" ref="I65" xml:space="preserve"> SUM(TrackingTable[Amount] * (TrackingTable[Type]= cc_type) * (YEAR(TrackingTable[Effective Date])=selected_year) * (MONTH(TrackingTable[Effective Date])=cc_month_Number))</f>
        <v>10000</v>
      </c>
      <c r="J65" s="95" cm="1">
        <f t="array" aca="1" ref="J65" ca="1">INDEX('Budget Plannning'!$D:$GB, savings_total_row, MATCH(DATE(selected_year, cc_month_Number, 1), 'Budget Plannning'!$D$7:$GB$7, 0))</f>
        <v>19000</v>
      </c>
      <c r="K65" s="95">
        <f ca="1">cc_Budget-cc_tracked</f>
        <v>9000</v>
      </c>
      <c r="L65" s="34"/>
      <c r="M65" s="95">
        <f ca="1">cc_In_Focus*cc_Show_Type*MIN(cc_tracked, cc_Budget)</f>
        <v>10000</v>
      </c>
      <c r="N65" s="95">
        <f ca="1">cc_In_Focus*cc_Show_Type*cc_Show_Remaining_Budget*IF(cc_Delta&gt;0, cc_Delta, 0)</f>
        <v>9000</v>
      </c>
      <c r="O65" s="95">
        <f ca="1">cc_In_Focus*cc_Show_Type*IF(cc_Delta&lt;0,ABS(cc_Delta),0)</f>
        <v>0</v>
      </c>
      <c r="P65" s="95">
        <f ca="1">NOT(cc_In_Focus)*cc_Show_Type*MIN(cc_tracked, cc_Budget)</f>
        <v>0</v>
      </c>
      <c r="Q65" s="95">
        <f ca="1">NOT(cc_In_Focus)*cc_Show_Type*cc_Show_Remaining_Budget*IF(cc_Delta&gt;0, cc_Delta, 0)</f>
        <v>0</v>
      </c>
      <c r="R65" s="95">
        <f ca="1">NOT(cc_In_Focus)*cc_Show_Type*IF(cc_Delta&lt;0,ABS(cc_Delta),0)</f>
        <v>0</v>
      </c>
    </row>
    <row r="66" spans="3:18" ht="15" thickBot="1" x14ac:dyDescent="0.35">
      <c r="C66" s="213"/>
      <c r="D66" s="96"/>
      <c r="E66" s="96"/>
      <c r="F66" s="96"/>
      <c r="G66" s="96"/>
      <c r="H66" s="96"/>
      <c r="I66" s="97"/>
      <c r="J66" s="97"/>
      <c r="K66" s="97"/>
      <c r="L66" s="96"/>
      <c r="M66" s="96"/>
      <c r="N66" s="96"/>
      <c r="O66" s="96"/>
      <c r="P66" s="96"/>
      <c r="Q66" s="96"/>
      <c r="R66" s="96"/>
    </row>
    <row r="67" spans="3:18" x14ac:dyDescent="0.3">
      <c r="C67" s="211">
        <f>DATE(selected_year,4,1)</f>
        <v>45383</v>
      </c>
      <c r="D67" s="98" t="s">
        <v>12</v>
      </c>
      <c r="E67" s="34">
        <f>MONTH(C67)</f>
        <v>4</v>
      </c>
      <c r="F67" s="34">
        <f>IF(selected_period="Total Year", 1, IF(selected_period=cc_month_Number, 1, 0))</f>
        <v>1</v>
      </c>
      <c r="G67" s="34">
        <f>1*$D$49</f>
        <v>1</v>
      </c>
      <c r="H67" s="34">
        <f>1*$D$52</f>
        <v>1</v>
      </c>
      <c r="I67" s="95" cm="1">
        <f t="array" ref="I67" xml:space="preserve"> SUM(TrackingTable[Amount] * (TrackingTable[Type]= cc_type) * (YEAR(TrackingTable[Effective Date])=selected_year) * (MONTH(TrackingTable[Effective Date])=cc_month_Number))</f>
        <v>100000</v>
      </c>
      <c r="J67" s="95" cm="1">
        <f t="array" aca="1" ref="J67" ca="1">INDEX('Budget Plannning'!$D:$GB, income_total_row, MATCH(DATE(selected_year, cc_month_Number, 1), 'Budget Plannning'!$D$7:$GB$7, 0))</f>
        <v>170000</v>
      </c>
      <c r="K67" s="95">
        <f ca="1">cc_Budget-cc_tracked</f>
        <v>70000</v>
      </c>
      <c r="L67" s="98"/>
      <c r="M67" s="95">
        <f ca="1">cc_In_Focus*cc_Show_Type*MIN(cc_tracked, cc_Budget)</f>
        <v>100000</v>
      </c>
      <c r="N67" s="95">
        <f ca="1">cc_In_Focus*cc_Show_Type*cc_Show_Remaining_Budget*IF(cc_Delta&gt;0, cc_Delta, 0)</f>
        <v>70000</v>
      </c>
      <c r="O67" s="95">
        <f ca="1">cc_In_Focus*cc_Show_Type*IF(cc_Delta&lt;0,ABS(cc_Delta),0)</f>
        <v>0</v>
      </c>
      <c r="P67" s="95">
        <f ca="1">NOT(cc_In_Focus)*cc_Show_Type*MIN(cc_tracked, cc_Budget)</f>
        <v>0</v>
      </c>
      <c r="Q67" s="95">
        <f ca="1">NOT(cc_In_Focus)*cc_Show_Type*cc_Show_Remaining_Budget*IF(cc_Delta&gt;0, cc_Delta, 0)</f>
        <v>0</v>
      </c>
      <c r="R67" s="95">
        <f ca="1">NOT(cc_In_Focus)*cc_Show_Type*IF(cc_Delta&lt;0,ABS(cc_Delta),0)</f>
        <v>0</v>
      </c>
    </row>
    <row r="68" spans="3:18" x14ac:dyDescent="0.3">
      <c r="C68" s="212"/>
      <c r="D68" s="34" t="s">
        <v>17</v>
      </c>
      <c r="E68" s="34">
        <f>MONTH(C67)</f>
        <v>4</v>
      </c>
      <c r="F68" s="34">
        <f>IF(selected_period="Total Year", 1, IF(selected_period=cc_month_Number, 1, 0))</f>
        <v>1</v>
      </c>
      <c r="G68" s="34">
        <f>1*$D$50</f>
        <v>1</v>
      </c>
      <c r="H68" s="34">
        <f t="shared" si="0"/>
        <v>1</v>
      </c>
      <c r="I68" s="95" cm="1">
        <f t="array" ref="I68" xml:space="preserve"> SUM(TrackingTable[Amount] * (TrackingTable[Type]= cc_type) * (YEAR(TrackingTable[Effective Date])=selected_year) * (MONTH(TrackingTable[Effective Date])=cc_month_Number))</f>
        <v>22000</v>
      </c>
      <c r="J68" s="95" cm="1">
        <f t="array" aca="1" ref="J68" ca="1">INDEX('Budget Plannning'!$D:$GB, expenditure_total_row, MATCH(DATE(selected_year, cc_month_Number, 1), 'Budget Plannning'!$D$7:$GB$7, 0))</f>
        <v>112000</v>
      </c>
      <c r="K68" s="95">
        <f ca="1">cc_Budget-cc_tracked</f>
        <v>90000</v>
      </c>
      <c r="L68" s="34"/>
      <c r="M68" s="95">
        <f ca="1">cc_In_Focus*cc_Show_Type*MIN(cc_tracked, cc_Budget)</f>
        <v>22000</v>
      </c>
      <c r="N68" s="95">
        <f ca="1">cc_In_Focus*cc_Show_Type*cc_Show_Remaining_Budget*IF(cc_Delta&gt;0, cc_Delta, 0)</f>
        <v>90000</v>
      </c>
      <c r="O68" s="95">
        <f ca="1">cc_In_Focus*cc_Show_Type*IF(cc_Delta&lt;0,ABS(cc_Delta),0)</f>
        <v>0</v>
      </c>
      <c r="P68" s="95">
        <f ca="1">NOT(cc_In_Focus)*cc_Show_Type*MIN(cc_tracked, cc_Budget)</f>
        <v>0</v>
      </c>
      <c r="Q68" s="95">
        <f ca="1">NOT(cc_In_Focus)*cc_Show_Type*cc_Show_Remaining_Budget*IF(cc_Delta&gt;0, cc_Delta, 0)</f>
        <v>0</v>
      </c>
      <c r="R68" s="95">
        <f ca="1">NOT(cc_In_Focus)*cc_Show_Type*IF(cc_Delta&lt;0,ABS(cc_Delta),0)</f>
        <v>0</v>
      </c>
    </row>
    <row r="69" spans="3:18" x14ac:dyDescent="0.3">
      <c r="C69" s="212"/>
      <c r="D69" s="34" t="s">
        <v>32</v>
      </c>
      <c r="E69" s="34">
        <f>MONTH(C67)</f>
        <v>4</v>
      </c>
      <c r="F69" s="34">
        <f>IF(selected_period="Total Year", 1, IF(selected_period=cc_month_Number, 1, 0))</f>
        <v>1</v>
      </c>
      <c r="G69" s="34">
        <f>1*$D$51</f>
        <v>1</v>
      </c>
      <c r="H69" s="34">
        <f t="shared" si="0"/>
        <v>1</v>
      </c>
      <c r="I69" s="95" cm="1">
        <f t="array" ref="I69" xml:space="preserve"> SUM(TrackingTable[Amount] * (TrackingTable[Type]= cc_type) * (YEAR(TrackingTable[Effective Date])=selected_year) * (MONTH(TrackingTable[Effective Date])=cc_month_Number))</f>
        <v>0</v>
      </c>
      <c r="J69" s="95" cm="1">
        <f t="array" aca="1" ref="J69" ca="1">INDEX('Budget Plannning'!$D:$GB, savings_total_row, MATCH(DATE(selected_year, cc_month_Number, 1), 'Budget Plannning'!$D$7:$GB$7, 0))</f>
        <v>24000</v>
      </c>
      <c r="K69" s="95">
        <f ca="1">cc_Budget-cc_tracked</f>
        <v>24000</v>
      </c>
      <c r="L69" s="34"/>
      <c r="M69" s="95">
        <f ca="1">cc_In_Focus*cc_Show_Type*MIN(cc_tracked, cc_Budget)</f>
        <v>0</v>
      </c>
      <c r="N69" s="95">
        <f ca="1">cc_In_Focus*cc_Show_Type*cc_Show_Remaining_Budget*IF(cc_Delta&gt;0, cc_Delta, 0)</f>
        <v>24000</v>
      </c>
      <c r="O69" s="95">
        <f ca="1">cc_In_Focus*cc_Show_Type*IF(cc_Delta&lt;0,ABS(cc_Delta),0)</f>
        <v>0</v>
      </c>
      <c r="P69" s="95">
        <f ca="1">NOT(cc_In_Focus)*cc_Show_Type*MIN(cc_tracked, cc_Budget)</f>
        <v>0</v>
      </c>
      <c r="Q69" s="95">
        <f ca="1">NOT(cc_In_Focus)*cc_Show_Type*cc_Show_Remaining_Budget*IF(cc_Delta&gt;0, cc_Delta, 0)</f>
        <v>0</v>
      </c>
      <c r="R69" s="95">
        <f ca="1">NOT(cc_In_Focus)*cc_Show_Type*IF(cc_Delta&lt;0,ABS(cc_Delta),0)</f>
        <v>0</v>
      </c>
    </row>
    <row r="70" spans="3:18" ht="15" thickBot="1" x14ac:dyDescent="0.35">
      <c r="C70" s="213"/>
      <c r="D70" s="96"/>
      <c r="E70" s="96"/>
      <c r="F70" s="96"/>
      <c r="G70" s="96"/>
      <c r="H70" s="96"/>
      <c r="I70" s="97"/>
      <c r="J70" s="97"/>
      <c r="K70" s="97"/>
      <c r="L70" s="96"/>
      <c r="M70" s="96"/>
      <c r="N70" s="96"/>
      <c r="O70" s="96"/>
      <c r="P70" s="96"/>
      <c r="Q70" s="96"/>
      <c r="R70" s="96"/>
    </row>
    <row r="71" spans="3:18" x14ac:dyDescent="0.3">
      <c r="C71" s="211">
        <f>DATE(selected_year,5,1)</f>
        <v>45413</v>
      </c>
      <c r="D71" s="98" t="s">
        <v>12</v>
      </c>
      <c r="E71" s="34">
        <f>MONTH(C71)</f>
        <v>5</v>
      </c>
      <c r="F71" s="34">
        <f>IF(selected_period="Total Year", 1, IF(selected_period=cc_month_Number, 1, 0))</f>
        <v>1</v>
      </c>
      <c r="G71" s="34">
        <f>1*$D$49</f>
        <v>1</v>
      </c>
      <c r="H71" s="34">
        <f>1*$D$52</f>
        <v>1</v>
      </c>
      <c r="I71" s="95" cm="1">
        <f t="array" ref="I71" xml:space="preserve"> SUM(TrackingTable[Amount] * (TrackingTable[Type]= cc_type) * (YEAR(TrackingTable[Effective Date])=selected_year) * (MONTH(TrackingTable[Effective Date])=cc_month_Number))</f>
        <v>100000</v>
      </c>
      <c r="J71" s="95" cm="1">
        <f t="array" aca="1" ref="J71" ca="1">INDEX('Budget Plannning'!$D:$GB, income_total_row, MATCH(DATE(selected_year, cc_month_Number, 1), 'Budget Plannning'!$D$7:$GB$7, 0))</f>
        <v>170000</v>
      </c>
      <c r="K71" s="95">
        <f ca="1">cc_Budget-cc_tracked</f>
        <v>70000</v>
      </c>
      <c r="L71" s="98"/>
      <c r="M71" s="95">
        <f ca="1">cc_In_Focus*cc_Show_Type*MIN(cc_tracked, cc_Budget)</f>
        <v>100000</v>
      </c>
      <c r="N71" s="95">
        <f ca="1">cc_In_Focus*cc_Show_Type*cc_Show_Remaining_Budget*IF(cc_Delta&gt;0, cc_Delta, 0)</f>
        <v>70000</v>
      </c>
      <c r="O71" s="95">
        <f ca="1">cc_In_Focus*cc_Show_Type*IF(cc_Delta&lt;0,ABS(cc_Delta),0)</f>
        <v>0</v>
      </c>
      <c r="P71" s="95">
        <f ca="1">NOT(cc_In_Focus)*cc_Show_Type*MIN(cc_tracked, cc_Budget)</f>
        <v>0</v>
      </c>
      <c r="Q71" s="95">
        <f ca="1">NOT(cc_In_Focus)*cc_Show_Type*cc_Show_Remaining_Budget*IF(cc_Delta&gt;0, cc_Delta, 0)</f>
        <v>0</v>
      </c>
      <c r="R71" s="95">
        <f ca="1">NOT(cc_In_Focus)*cc_Show_Type*IF(cc_Delta&lt;0,ABS(cc_Delta),0)</f>
        <v>0</v>
      </c>
    </row>
    <row r="72" spans="3:18" x14ac:dyDescent="0.3">
      <c r="C72" s="212"/>
      <c r="D72" s="34" t="s">
        <v>17</v>
      </c>
      <c r="E72" s="34">
        <f>MONTH(C71)</f>
        <v>5</v>
      </c>
      <c r="F72" s="34">
        <f>IF(selected_period="Total Year", 1, IF(selected_period=cc_month_Number, 1, 0))</f>
        <v>1</v>
      </c>
      <c r="G72" s="34">
        <f>1*$D$50</f>
        <v>1</v>
      </c>
      <c r="H72" s="34">
        <f t="shared" si="0"/>
        <v>1</v>
      </c>
      <c r="I72" s="95" cm="1">
        <f t="array" ref="I72" xml:space="preserve"> SUM(TrackingTable[Amount] * (TrackingTable[Type]= cc_type) * (YEAR(TrackingTable[Effective Date])=selected_year) * (MONTH(TrackingTable[Effective Date])=cc_month_Number))</f>
        <v>22000</v>
      </c>
      <c r="J72" s="95" cm="1">
        <f t="array" aca="1" ref="J72" ca="1">INDEX('Budget Plannning'!$D:$GB, expenditure_total_row, MATCH(DATE(selected_year, cc_month_Number, 1), 'Budget Plannning'!$D$7:$GB$7, 0))</f>
        <v>162000</v>
      </c>
      <c r="K72" s="95">
        <f ca="1">cc_Budget-cc_tracked</f>
        <v>140000</v>
      </c>
      <c r="L72" s="34"/>
      <c r="M72" s="95">
        <f ca="1">cc_In_Focus*cc_Show_Type*MIN(cc_tracked, cc_Budget)</f>
        <v>22000</v>
      </c>
      <c r="N72" s="95">
        <f ca="1">cc_In_Focus*cc_Show_Type*cc_Show_Remaining_Budget*IF(cc_Delta&gt;0, cc_Delta, 0)</f>
        <v>140000</v>
      </c>
      <c r="O72" s="95">
        <f ca="1">cc_In_Focus*cc_Show_Type*IF(cc_Delta&lt;0,ABS(cc_Delta),0)</f>
        <v>0</v>
      </c>
      <c r="P72" s="95">
        <f ca="1">NOT(cc_In_Focus)*cc_Show_Type*MIN(cc_tracked, cc_Budget)</f>
        <v>0</v>
      </c>
      <c r="Q72" s="95">
        <f ca="1">NOT(cc_In_Focus)*cc_Show_Type*cc_Show_Remaining_Budget*IF(cc_Delta&gt;0, cc_Delta, 0)</f>
        <v>0</v>
      </c>
      <c r="R72" s="95">
        <f ca="1">NOT(cc_In_Focus)*cc_Show_Type*IF(cc_Delta&lt;0,ABS(cc_Delta),0)</f>
        <v>0</v>
      </c>
    </row>
    <row r="73" spans="3:18" x14ac:dyDescent="0.3">
      <c r="C73" s="212"/>
      <c r="D73" s="34" t="s">
        <v>32</v>
      </c>
      <c r="E73" s="34">
        <f>MONTH(C71)</f>
        <v>5</v>
      </c>
      <c r="F73" s="34">
        <f>IF(selected_period="Total Year", 1, IF(selected_period=cc_month_Number, 1, 0))</f>
        <v>1</v>
      </c>
      <c r="G73" s="34">
        <f>1*$D$51</f>
        <v>1</v>
      </c>
      <c r="H73" s="34">
        <f t="shared" si="0"/>
        <v>1</v>
      </c>
      <c r="I73" s="95" cm="1">
        <f t="array" ref="I73" xml:space="preserve"> SUM(TrackingTable[Amount] * (TrackingTable[Type]= cc_type) * (YEAR(TrackingTable[Effective Date])=selected_year) * (MONTH(TrackingTable[Effective Date])=cc_month_Number))</f>
        <v>0</v>
      </c>
      <c r="J73" s="95" cm="1">
        <f t="array" aca="1" ref="J73" ca="1">INDEX('Budget Plannning'!$D:$GB, savings_total_row, MATCH(DATE(selected_year, cc_month_Number, 1), 'Budget Plannning'!$D$7:$GB$7, 0))</f>
        <v>14000</v>
      </c>
      <c r="K73" s="95">
        <f ca="1">cc_Budget-cc_tracked</f>
        <v>14000</v>
      </c>
      <c r="L73" s="34"/>
      <c r="M73" s="95">
        <f ca="1">cc_In_Focus*cc_Show_Type*MIN(cc_tracked, cc_Budget)</f>
        <v>0</v>
      </c>
      <c r="N73" s="95">
        <f ca="1">cc_In_Focus*cc_Show_Type*cc_Show_Remaining_Budget*IF(cc_Delta&gt;0, cc_Delta, 0)</f>
        <v>14000</v>
      </c>
      <c r="O73" s="95">
        <f ca="1">cc_In_Focus*cc_Show_Type*IF(cc_Delta&lt;0,ABS(cc_Delta),0)</f>
        <v>0</v>
      </c>
      <c r="P73" s="95">
        <f ca="1">NOT(cc_In_Focus)*cc_Show_Type*MIN(cc_tracked, cc_Budget)</f>
        <v>0</v>
      </c>
      <c r="Q73" s="95">
        <f ca="1">NOT(cc_In_Focus)*cc_Show_Type*cc_Show_Remaining_Budget*IF(cc_Delta&gt;0, cc_Delta, 0)</f>
        <v>0</v>
      </c>
      <c r="R73" s="95">
        <f ca="1">NOT(cc_In_Focus)*cc_Show_Type*IF(cc_Delta&lt;0,ABS(cc_Delta),0)</f>
        <v>0</v>
      </c>
    </row>
    <row r="74" spans="3:18" ht="15" thickBot="1" x14ac:dyDescent="0.35">
      <c r="C74" s="213"/>
      <c r="D74" s="96"/>
      <c r="E74" s="96"/>
      <c r="F74" s="96"/>
      <c r="G74" s="96"/>
      <c r="H74" s="96"/>
      <c r="I74" s="97"/>
      <c r="J74" s="97"/>
      <c r="K74" s="97"/>
      <c r="L74" s="96"/>
      <c r="M74" s="96"/>
      <c r="N74" s="96"/>
      <c r="O74" s="96"/>
      <c r="P74" s="96"/>
      <c r="Q74" s="96"/>
      <c r="R74" s="96"/>
    </row>
    <row r="75" spans="3:18" x14ac:dyDescent="0.3">
      <c r="C75" s="211">
        <f>DATE(selected_year,6,1)</f>
        <v>45444</v>
      </c>
      <c r="D75" s="98" t="s">
        <v>12</v>
      </c>
      <c r="E75" s="34">
        <f>MONTH(C75)</f>
        <v>6</v>
      </c>
      <c r="F75" s="34">
        <f>IF(selected_period="Total Year", 1, IF(selected_period=cc_month_Number, 1, 0))</f>
        <v>1</v>
      </c>
      <c r="G75" s="34">
        <f>1*$D$49</f>
        <v>1</v>
      </c>
      <c r="H75" s="34">
        <f>1*$D$52</f>
        <v>1</v>
      </c>
      <c r="I75" s="95" cm="1">
        <f t="array" ref="I75" xml:space="preserve"> SUM(TrackingTable[Amount] * (TrackingTable[Type]= cc_type) * (YEAR(TrackingTable[Effective Date])=selected_year) * (MONTH(TrackingTable[Effective Date])=cc_month_Number))</f>
        <v>0</v>
      </c>
      <c r="J75" s="95" cm="1">
        <f t="array" aca="1" ref="J75" ca="1">INDEX('Budget Plannning'!$D:$GB, income_total_row, MATCH(DATE(selected_year, cc_month_Number, 1), 'Budget Plannning'!$D$7:$GB$7, 0))</f>
        <v>170000</v>
      </c>
      <c r="K75" s="95">
        <f ca="1">cc_Budget-cc_tracked</f>
        <v>170000</v>
      </c>
      <c r="L75" s="98"/>
      <c r="M75" s="95">
        <f ca="1">cc_In_Focus*cc_Show_Type*MIN(cc_tracked, cc_Budget)</f>
        <v>0</v>
      </c>
      <c r="N75" s="95">
        <f ca="1">cc_In_Focus*cc_Show_Type*cc_Show_Remaining_Budget*IF(cc_Delta&gt;0, cc_Delta, 0)</f>
        <v>170000</v>
      </c>
      <c r="O75" s="95">
        <f ca="1">cc_In_Focus*cc_Show_Type*IF(cc_Delta&lt;0,ABS(cc_Delta),0)</f>
        <v>0</v>
      </c>
      <c r="P75" s="95">
        <f ca="1">NOT(cc_In_Focus)*cc_Show_Type*MIN(cc_tracked, cc_Budget)</f>
        <v>0</v>
      </c>
      <c r="Q75" s="95">
        <f ca="1">NOT(cc_In_Focus)*cc_Show_Type*cc_Show_Remaining_Budget*IF(cc_Delta&gt;0, cc_Delta, 0)</f>
        <v>0</v>
      </c>
      <c r="R75" s="95">
        <f ca="1">NOT(cc_In_Focus)*cc_Show_Type*IF(cc_Delta&lt;0,ABS(cc_Delta),0)</f>
        <v>0</v>
      </c>
    </row>
    <row r="76" spans="3:18" x14ac:dyDescent="0.3">
      <c r="C76" s="212"/>
      <c r="D76" s="34" t="s">
        <v>17</v>
      </c>
      <c r="E76" s="34">
        <f>MONTH(C75)</f>
        <v>6</v>
      </c>
      <c r="F76" s="34">
        <f>IF(selected_period="Total Year", 1, IF(selected_period=cc_month_Number, 1, 0))</f>
        <v>1</v>
      </c>
      <c r="G76" s="34">
        <f>1*$D$50</f>
        <v>1</v>
      </c>
      <c r="H76" s="34">
        <f t="shared" si="0"/>
        <v>1</v>
      </c>
      <c r="I76" s="95" cm="1">
        <f t="array" ref="I76" xml:space="preserve"> SUM(TrackingTable[Amount] * (TrackingTable[Type]= cc_type) * (YEAR(TrackingTable[Effective Date])=selected_year) * (MONTH(TrackingTable[Effective Date])=cc_month_Number))</f>
        <v>72000</v>
      </c>
      <c r="J76" s="95" cm="1">
        <f t="array" aca="1" ref="J76" ca="1">INDEX('Budget Plannning'!$D:$GB, expenditure_total_row, MATCH(DATE(selected_year, cc_month_Number, 1), 'Budget Plannning'!$D$7:$GB$7, 0))</f>
        <v>132000</v>
      </c>
      <c r="K76" s="95">
        <f ca="1">cc_Budget-cc_tracked</f>
        <v>60000</v>
      </c>
      <c r="L76" s="34"/>
      <c r="M76" s="95">
        <f ca="1">cc_In_Focus*cc_Show_Type*MIN(cc_tracked, cc_Budget)</f>
        <v>72000</v>
      </c>
      <c r="N76" s="95">
        <f ca="1">cc_In_Focus*cc_Show_Type*cc_Show_Remaining_Budget*IF(cc_Delta&gt;0, cc_Delta, 0)</f>
        <v>60000</v>
      </c>
      <c r="O76" s="95">
        <f ca="1">cc_In_Focus*cc_Show_Type*IF(cc_Delta&lt;0,ABS(cc_Delta),0)</f>
        <v>0</v>
      </c>
      <c r="P76" s="95">
        <f ca="1">NOT(cc_In_Focus)*cc_Show_Type*MIN(cc_tracked, cc_Budget)</f>
        <v>0</v>
      </c>
      <c r="Q76" s="95">
        <f ca="1">NOT(cc_In_Focus)*cc_Show_Type*cc_Show_Remaining_Budget*IF(cc_Delta&gt;0, cc_Delta, 0)</f>
        <v>0</v>
      </c>
      <c r="R76" s="95">
        <f ca="1">NOT(cc_In_Focus)*cc_Show_Type*IF(cc_Delta&lt;0,ABS(cc_Delta),0)</f>
        <v>0</v>
      </c>
    </row>
    <row r="77" spans="3:18" x14ac:dyDescent="0.3">
      <c r="C77" s="212"/>
      <c r="D77" s="34" t="s">
        <v>32</v>
      </c>
      <c r="E77" s="34">
        <f>MONTH(C75)</f>
        <v>6</v>
      </c>
      <c r="F77" s="34">
        <f>IF(selected_period="Total Year", 1, IF(selected_period=cc_month_Number, 1, 0))</f>
        <v>1</v>
      </c>
      <c r="G77" s="34">
        <f>1*$D$51</f>
        <v>1</v>
      </c>
      <c r="H77" s="34">
        <f t="shared" si="0"/>
        <v>1</v>
      </c>
      <c r="I77" s="95" cm="1">
        <f t="array" ref="I77" xml:space="preserve"> SUM(TrackingTable[Amount] * (TrackingTable[Type]= cc_type) * (YEAR(TrackingTable[Effective Date])=selected_year) * (MONTH(TrackingTable[Effective Date])=cc_month_Number))</f>
        <v>5000</v>
      </c>
      <c r="J77" s="95" cm="1">
        <f t="array" aca="1" ref="J77" ca="1">INDEX('Budget Plannning'!$D:$GB, savings_total_row, MATCH(DATE(selected_year, cc_month_Number, 1), 'Budget Plannning'!$D$7:$GB$7, 0))</f>
        <v>14000</v>
      </c>
      <c r="K77" s="95">
        <f ca="1">cc_Budget-cc_tracked</f>
        <v>9000</v>
      </c>
      <c r="L77" s="34"/>
      <c r="M77" s="95">
        <f ca="1">cc_In_Focus*cc_Show_Type*MIN(cc_tracked, cc_Budget)</f>
        <v>5000</v>
      </c>
      <c r="N77" s="95">
        <f ca="1">cc_In_Focus*cc_Show_Type*cc_Show_Remaining_Budget*IF(cc_Delta&gt;0, cc_Delta, 0)</f>
        <v>9000</v>
      </c>
      <c r="O77" s="95">
        <f ca="1">cc_In_Focus*cc_Show_Type*IF(cc_Delta&lt;0,ABS(cc_Delta),0)</f>
        <v>0</v>
      </c>
      <c r="P77" s="95">
        <f ca="1">NOT(cc_In_Focus)*cc_Show_Type*MIN(cc_tracked, cc_Budget)</f>
        <v>0</v>
      </c>
      <c r="Q77" s="95">
        <f ca="1">NOT(cc_In_Focus)*cc_Show_Type*cc_Show_Remaining_Budget*IF(cc_Delta&gt;0, cc_Delta, 0)</f>
        <v>0</v>
      </c>
      <c r="R77" s="95">
        <f ca="1">NOT(cc_In_Focus)*cc_Show_Type*IF(cc_Delta&lt;0,ABS(cc_Delta),0)</f>
        <v>0</v>
      </c>
    </row>
    <row r="78" spans="3:18" ht="15" thickBot="1" x14ac:dyDescent="0.35">
      <c r="C78" s="213"/>
      <c r="D78" s="96"/>
      <c r="E78" s="96"/>
      <c r="F78" s="96"/>
      <c r="G78" s="96"/>
      <c r="H78" s="96"/>
      <c r="I78" s="97"/>
      <c r="J78" s="97"/>
      <c r="K78" s="97"/>
      <c r="L78" s="96"/>
      <c r="M78" s="96"/>
      <c r="N78" s="96"/>
      <c r="O78" s="96"/>
      <c r="P78" s="96"/>
      <c r="Q78" s="96"/>
      <c r="R78" s="96"/>
    </row>
    <row r="79" spans="3:18" x14ac:dyDescent="0.3">
      <c r="C79" s="211">
        <f>DATE(selected_year,7,1)</f>
        <v>45474</v>
      </c>
      <c r="D79" s="98" t="s">
        <v>12</v>
      </c>
      <c r="E79" s="34">
        <f>MONTH(C79)</f>
        <v>7</v>
      </c>
      <c r="F79" s="34">
        <f>IF(selected_period="Total Year", 1, IF(selected_period=cc_month_Number, 1, 0))</f>
        <v>1</v>
      </c>
      <c r="G79" s="34">
        <f>1*$D$49</f>
        <v>1</v>
      </c>
      <c r="H79" s="34">
        <f>1*$D$52</f>
        <v>1</v>
      </c>
      <c r="I79" s="95" cm="1">
        <f t="array" ref="I79" xml:space="preserve"> SUM(TrackingTable[Amount] * (TrackingTable[Type]= cc_type) * (YEAR(TrackingTable[Effective Date])=selected_year) * (MONTH(TrackingTable[Effective Date])=cc_month_Number))</f>
        <v>102000</v>
      </c>
      <c r="J79" s="95" cm="1">
        <f t="array" aca="1" ref="J79" ca="1">INDEX('Budget Plannning'!$D:$GB, income_total_row, MATCH(DATE(selected_year, cc_month_Number, 1), 'Budget Plannning'!$D$7:$GB$7, 0))</f>
        <v>170000</v>
      </c>
      <c r="K79" s="95">
        <f ca="1">cc_Budget-cc_tracked</f>
        <v>68000</v>
      </c>
      <c r="L79" s="98"/>
      <c r="M79" s="95">
        <f ca="1">cc_In_Focus*cc_Show_Type*MIN(cc_tracked, cc_Budget)</f>
        <v>102000</v>
      </c>
      <c r="N79" s="95">
        <f ca="1">cc_In_Focus*cc_Show_Type*cc_Show_Remaining_Budget*IF(cc_Delta&gt;0, cc_Delta, 0)</f>
        <v>68000</v>
      </c>
      <c r="O79" s="95">
        <f ca="1">cc_In_Focus*cc_Show_Type*IF(cc_Delta&lt;0,ABS(cc_Delta),0)</f>
        <v>0</v>
      </c>
      <c r="P79" s="95">
        <f ca="1">NOT(cc_In_Focus)*cc_Show_Type*MIN(cc_tracked, cc_Budget)</f>
        <v>0</v>
      </c>
      <c r="Q79" s="95">
        <f ca="1">NOT(cc_In_Focus)*cc_Show_Type*cc_Show_Remaining_Budget*IF(cc_Delta&gt;0, cc_Delta, 0)</f>
        <v>0</v>
      </c>
      <c r="R79" s="95">
        <f ca="1">NOT(cc_In_Focus)*cc_Show_Type*IF(cc_Delta&lt;0,ABS(cc_Delta),0)</f>
        <v>0</v>
      </c>
    </row>
    <row r="80" spans="3:18" x14ac:dyDescent="0.3">
      <c r="C80" s="212"/>
      <c r="D80" s="34" t="s">
        <v>17</v>
      </c>
      <c r="E80" s="34">
        <f>MONTH(C79)</f>
        <v>7</v>
      </c>
      <c r="F80" s="34">
        <f>IF(selected_period="Total Year", 1, IF(selected_period=cc_month_Number, 1, 0))</f>
        <v>1</v>
      </c>
      <c r="G80" s="34">
        <f>1*$D$50</f>
        <v>1</v>
      </c>
      <c r="H80" s="34">
        <f t="shared" si="0"/>
        <v>1</v>
      </c>
      <c r="I80" s="95" cm="1">
        <f t="array" ref="I80" xml:space="preserve"> SUM(TrackingTable[Amount] * (TrackingTable[Type]= cc_type) * (YEAR(TrackingTable[Effective Date])=selected_year) * (MONTH(TrackingTable[Effective Date])=cc_month_Number))</f>
        <v>22000</v>
      </c>
      <c r="J80" s="95" cm="1">
        <f t="array" aca="1" ref="J80" ca="1">INDEX('Budget Plannning'!$D:$GB, expenditure_total_row, MATCH(DATE(selected_year, cc_month_Number, 1), 'Budget Plannning'!$D$7:$GB$7, 0))</f>
        <v>132000</v>
      </c>
      <c r="K80" s="95">
        <f ca="1">cc_Budget-cc_tracked</f>
        <v>110000</v>
      </c>
      <c r="L80" s="34"/>
      <c r="M80" s="95">
        <f ca="1">cc_In_Focus*cc_Show_Type*MIN(cc_tracked, cc_Budget)</f>
        <v>22000</v>
      </c>
      <c r="N80" s="95">
        <f ca="1">cc_In_Focus*cc_Show_Type*cc_Show_Remaining_Budget*IF(cc_Delta&gt;0, cc_Delta, 0)</f>
        <v>110000</v>
      </c>
      <c r="O80" s="95">
        <f ca="1">cc_In_Focus*cc_Show_Type*IF(cc_Delta&lt;0,ABS(cc_Delta),0)</f>
        <v>0</v>
      </c>
      <c r="P80" s="95">
        <f ca="1">NOT(cc_In_Focus)*cc_Show_Type*MIN(cc_tracked, cc_Budget)</f>
        <v>0</v>
      </c>
      <c r="Q80" s="95">
        <f ca="1">NOT(cc_In_Focus)*cc_Show_Type*cc_Show_Remaining_Budget*IF(cc_Delta&gt;0, cc_Delta, 0)</f>
        <v>0</v>
      </c>
      <c r="R80" s="95">
        <f ca="1">NOT(cc_In_Focus)*cc_Show_Type*IF(cc_Delta&lt;0,ABS(cc_Delta),0)</f>
        <v>0</v>
      </c>
    </row>
    <row r="81" spans="3:18" x14ac:dyDescent="0.3">
      <c r="C81" s="212"/>
      <c r="D81" s="34" t="s">
        <v>32</v>
      </c>
      <c r="E81" s="34">
        <f>MONTH(C79)</f>
        <v>7</v>
      </c>
      <c r="F81" s="34">
        <f>IF(selected_period="Total Year", 1, IF(selected_period=cc_month_Number, 1, 0))</f>
        <v>1</v>
      </c>
      <c r="G81" s="34">
        <f>1*$D$51</f>
        <v>1</v>
      </c>
      <c r="H81" s="34">
        <f t="shared" si="0"/>
        <v>1</v>
      </c>
      <c r="I81" s="95" cm="1">
        <f t="array" ref="I81" xml:space="preserve"> SUM(TrackingTable[Amount] * (TrackingTable[Type]= cc_type) * (YEAR(TrackingTable[Effective Date])=selected_year) * (MONTH(TrackingTable[Effective Date])=cc_month_Number))</f>
        <v>0</v>
      </c>
      <c r="J81" s="95" cm="1">
        <f t="array" aca="1" ref="J81" ca="1">INDEX('Budget Plannning'!$D:$GB, savings_total_row, MATCH(DATE(selected_year, cc_month_Number, 1), 'Budget Plannning'!$D$7:$GB$7, 0))</f>
        <v>14000</v>
      </c>
      <c r="K81" s="95">
        <f ca="1">cc_Budget-cc_tracked</f>
        <v>14000</v>
      </c>
      <c r="L81" s="34"/>
      <c r="M81" s="95">
        <f ca="1">cc_In_Focus*cc_Show_Type*MIN(cc_tracked, cc_Budget)</f>
        <v>0</v>
      </c>
      <c r="N81" s="95">
        <f ca="1">cc_In_Focus*cc_Show_Type*cc_Show_Remaining_Budget*IF(cc_Delta&gt;0, cc_Delta, 0)</f>
        <v>14000</v>
      </c>
      <c r="O81" s="95">
        <f ca="1">cc_In_Focus*cc_Show_Type*IF(cc_Delta&lt;0,ABS(cc_Delta),0)</f>
        <v>0</v>
      </c>
      <c r="P81" s="95">
        <f ca="1">NOT(cc_In_Focus)*cc_Show_Type*MIN(cc_tracked, cc_Budget)</f>
        <v>0</v>
      </c>
      <c r="Q81" s="95">
        <f ca="1">NOT(cc_In_Focus)*cc_Show_Type*cc_Show_Remaining_Budget*IF(cc_Delta&gt;0, cc_Delta, 0)</f>
        <v>0</v>
      </c>
      <c r="R81" s="95">
        <f ca="1">NOT(cc_In_Focus)*cc_Show_Type*IF(cc_Delta&lt;0,ABS(cc_Delta),0)</f>
        <v>0</v>
      </c>
    </row>
    <row r="82" spans="3:18" ht="15" thickBot="1" x14ac:dyDescent="0.35">
      <c r="C82" s="213"/>
      <c r="D82" s="96"/>
      <c r="E82" s="96"/>
      <c r="F82" s="96"/>
      <c r="G82" s="96"/>
      <c r="H82" s="96"/>
      <c r="I82" s="97"/>
      <c r="J82" s="97"/>
      <c r="K82" s="97"/>
      <c r="L82" s="96"/>
      <c r="M82" s="96"/>
      <c r="N82" s="96"/>
      <c r="O82" s="96"/>
      <c r="P82" s="96"/>
      <c r="Q82" s="96"/>
      <c r="R82" s="96"/>
    </row>
    <row r="83" spans="3:18" x14ac:dyDescent="0.3">
      <c r="C83" s="211">
        <f>DATE(selected_year,8,1)</f>
        <v>45505</v>
      </c>
      <c r="D83" s="98" t="s">
        <v>12</v>
      </c>
      <c r="E83" s="34">
        <f>MONTH(C83)</f>
        <v>8</v>
      </c>
      <c r="F83" s="34">
        <f>IF(selected_period="Total Year", 1, IF(selected_period=cc_month_Number, 1, 0))</f>
        <v>1</v>
      </c>
      <c r="G83" s="34">
        <f>1*$D$49</f>
        <v>1</v>
      </c>
      <c r="H83" s="34">
        <f>1*$D$52</f>
        <v>1</v>
      </c>
      <c r="I83" s="95" cm="1">
        <f t="array" ref="I83" xml:space="preserve"> SUM(TrackingTable[Amount] * (TrackingTable[Type]= cc_type) * (YEAR(TrackingTable[Effective Date])=selected_year) * (MONTH(TrackingTable[Effective Date])=cc_month_Number))</f>
        <v>200000</v>
      </c>
      <c r="J83" s="95" cm="1">
        <f t="array" aca="1" ref="J83" ca="1">INDEX('Budget Plannning'!$D:$GB, income_total_row, MATCH(DATE(selected_year, cc_month_Number, 1), 'Budget Plannning'!$D$7:$GB$7, 0))</f>
        <v>170000</v>
      </c>
      <c r="K83" s="95">
        <f ca="1">cc_Budget-cc_tracked</f>
        <v>-30000</v>
      </c>
      <c r="L83" s="98"/>
      <c r="M83" s="95">
        <f ca="1">cc_In_Focus*cc_Show_Type*MIN(cc_tracked, cc_Budget)</f>
        <v>170000</v>
      </c>
      <c r="N83" s="95">
        <f ca="1">cc_In_Focus*cc_Show_Type*cc_Show_Remaining_Budget*IF(cc_Delta&gt;0, cc_Delta, 0)</f>
        <v>0</v>
      </c>
      <c r="O83" s="95">
        <f ca="1">cc_In_Focus*cc_Show_Type*IF(cc_Delta&lt;0,ABS(cc_Delta),0)</f>
        <v>30000</v>
      </c>
      <c r="P83" s="95">
        <f ca="1">NOT(cc_In_Focus)*cc_Show_Type*MIN(cc_tracked, cc_Budget)</f>
        <v>0</v>
      </c>
      <c r="Q83" s="95">
        <f ca="1">NOT(cc_In_Focus)*cc_Show_Type*cc_Show_Remaining_Budget*IF(cc_Delta&gt;0, cc_Delta, 0)</f>
        <v>0</v>
      </c>
      <c r="R83" s="95">
        <f ca="1">NOT(cc_In_Focus)*cc_Show_Type*IF(cc_Delta&lt;0,ABS(cc_Delta),0)</f>
        <v>0</v>
      </c>
    </row>
    <row r="84" spans="3:18" x14ac:dyDescent="0.3">
      <c r="C84" s="212"/>
      <c r="D84" s="34" t="s">
        <v>17</v>
      </c>
      <c r="E84" s="34">
        <f>MONTH(C83)</f>
        <v>8</v>
      </c>
      <c r="F84" s="34">
        <f>IF(selected_period="Total Year", 1, IF(selected_period=cc_month_Number, 1, 0))</f>
        <v>1</v>
      </c>
      <c r="G84" s="34">
        <f>1*$D$50</f>
        <v>1</v>
      </c>
      <c r="H84" s="34">
        <f t="shared" si="0"/>
        <v>1</v>
      </c>
      <c r="I84" s="95" cm="1">
        <f t="array" ref="I84" xml:space="preserve"> SUM(TrackingTable[Amount] * (TrackingTable[Type]= cc_type) * (YEAR(TrackingTable[Effective Date])=selected_year) * (MONTH(TrackingTable[Effective Date])=cc_month_Number))</f>
        <v>22000</v>
      </c>
      <c r="J84" s="95" cm="1">
        <f t="array" aca="1" ref="J84" ca="1">INDEX('Budget Plannning'!$D:$GB, expenditure_total_row, MATCH(DATE(selected_year, cc_month_Number, 1), 'Budget Plannning'!$D$7:$GB$7, 0))</f>
        <v>112000</v>
      </c>
      <c r="K84" s="95">
        <f ca="1">cc_Budget-cc_tracked</f>
        <v>90000</v>
      </c>
      <c r="L84" s="34"/>
      <c r="M84" s="95">
        <f ca="1">cc_In_Focus*cc_Show_Type*MIN(cc_tracked, cc_Budget)</f>
        <v>22000</v>
      </c>
      <c r="N84" s="95">
        <f ca="1">cc_In_Focus*cc_Show_Type*cc_Show_Remaining_Budget*IF(cc_Delta&gt;0, cc_Delta, 0)</f>
        <v>90000</v>
      </c>
      <c r="O84" s="95">
        <f ca="1">cc_In_Focus*cc_Show_Type*IF(cc_Delta&lt;0,ABS(cc_Delta),0)</f>
        <v>0</v>
      </c>
      <c r="P84" s="95">
        <f ca="1">NOT(cc_In_Focus)*cc_Show_Type*MIN(cc_tracked, cc_Budget)</f>
        <v>0</v>
      </c>
      <c r="Q84" s="95">
        <f ca="1">NOT(cc_In_Focus)*cc_Show_Type*cc_Show_Remaining_Budget*IF(cc_Delta&gt;0, cc_Delta, 0)</f>
        <v>0</v>
      </c>
      <c r="R84" s="95">
        <f ca="1">NOT(cc_In_Focus)*cc_Show_Type*IF(cc_Delta&lt;0,ABS(cc_Delta),0)</f>
        <v>0</v>
      </c>
    </row>
    <row r="85" spans="3:18" x14ac:dyDescent="0.3">
      <c r="C85" s="212"/>
      <c r="D85" s="34" t="s">
        <v>32</v>
      </c>
      <c r="E85" s="34">
        <f>MONTH(C83)</f>
        <v>8</v>
      </c>
      <c r="F85" s="34">
        <f>IF(selected_period="Total Year", 1, IF(selected_period=cc_month_Number, 1, 0))</f>
        <v>1</v>
      </c>
      <c r="G85" s="34">
        <f>1*$D$51</f>
        <v>1</v>
      </c>
      <c r="H85" s="34">
        <f t="shared" si="0"/>
        <v>1</v>
      </c>
      <c r="I85" s="95" cm="1">
        <f t="array" ref="I85" xml:space="preserve"> SUM(TrackingTable[Amount] * (TrackingTable[Type]= cc_type) * (YEAR(TrackingTable[Effective Date])=selected_year) * (MONTH(TrackingTable[Effective Date])=cc_month_Number))</f>
        <v>20000</v>
      </c>
      <c r="J85" s="95" cm="1">
        <f t="array" aca="1" ref="J85" ca="1">INDEX('Budget Plannning'!$D:$GB, savings_total_row, MATCH(DATE(selected_year, cc_month_Number, 1), 'Budget Plannning'!$D$7:$GB$7, 0))</f>
        <v>34000</v>
      </c>
      <c r="K85" s="95">
        <f ca="1">cc_Budget-cc_tracked</f>
        <v>14000</v>
      </c>
      <c r="L85" s="34"/>
      <c r="M85" s="95">
        <f ca="1">cc_In_Focus*cc_Show_Type*MIN(cc_tracked, cc_Budget)</f>
        <v>20000</v>
      </c>
      <c r="N85" s="95">
        <f ca="1">cc_In_Focus*cc_Show_Type*cc_Show_Remaining_Budget*IF(cc_Delta&gt;0, cc_Delta, 0)</f>
        <v>14000</v>
      </c>
      <c r="O85" s="95">
        <f ca="1">cc_In_Focus*cc_Show_Type*IF(cc_Delta&lt;0,ABS(cc_Delta),0)</f>
        <v>0</v>
      </c>
      <c r="P85" s="95">
        <f ca="1">NOT(cc_In_Focus)*cc_Show_Type*MIN(cc_tracked, cc_Budget)</f>
        <v>0</v>
      </c>
      <c r="Q85" s="95">
        <f ca="1">NOT(cc_In_Focus)*cc_Show_Type*cc_Show_Remaining_Budget*IF(cc_Delta&gt;0, cc_Delta, 0)</f>
        <v>0</v>
      </c>
      <c r="R85" s="95">
        <f ca="1">NOT(cc_In_Focus)*cc_Show_Type*IF(cc_Delta&lt;0,ABS(cc_Delta),0)</f>
        <v>0</v>
      </c>
    </row>
    <row r="86" spans="3:18" ht="15" thickBot="1" x14ac:dyDescent="0.35">
      <c r="C86" s="213"/>
      <c r="D86" s="96"/>
      <c r="E86" s="96"/>
      <c r="F86" s="96"/>
      <c r="G86" s="96"/>
      <c r="H86" s="96"/>
      <c r="I86" s="97"/>
      <c r="J86" s="97"/>
      <c r="K86" s="97"/>
      <c r="L86" s="96"/>
      <c r="M86" s="96"/>
      <c r="N86" s="96"/>
      <c r="O86" s="96"/>
      <c r="P86" s="96"/>
      <c r="Q86" s="96"/>
      <c r="R86" s="96"/>
    </row>
    <row r="87" spans="3:18" x14ac:dyDescent="0.3">
      <c r="C87" s="211">
        <f>DATE(selected_year,9,1)</f>
        <v>45536</v>
      </c>
      <c r="D87" s="98" t="s">
        <v>12</v>
      </c>
      <c r="E87" s="34">
        <f>MONTH(C87)</f>
        <v>9</v>
      </c>
      <c r="F87" s="34">
        <f>IF(selected_period="Total Year", 1, IF(selected_period=cc_month_Number, 1, 0))</f>
        <v>1</v>
      </c>
      <c r="G87" s="34">
        <f>1*$D$49</f>
        <v>1</v>
      </c>
      <c r="H87" s="34">
        <f>1*$D$52</f>
        <v>1</v>
      </c>
      <c r="I87" s="95" cm="1">
        <f t="array" ref="I87" xml:space="preserve"> SUM(TrackingTable[Amount] * (TrackingTable[Type]= cc_type) * (YEAR(TrackingTable[Effective Date])=selected_year) * (MONTH(TrackingTable[Effective Date])=cc_month_Number))</f>
        <v>6000</v>
      </c>
      <c r="J87" s="95" cm="1">
        <f t="array" aca="1" ref="J87" ca="1">INDEX('Budget Plannning'!$D:$GB, income_total_row, MATCH(DATE(selected_year, cc_month_Number, 1), 'Budget Plannning'!$D$7:$GB$7, 0))</f>
        <v>170000</v>
      </c>
      <c r="K87" s="95">
        <f ca="1">cc_Budget-cc_tracked</f>
        <v>164000</v>
      </c>
      <c r="L87" s="98"/>
      <c r="M87" s="95">
        <f ca="1">cc_In_Focus*cc_Show_Type*MIN(cc_tracked, cc_Budget)</f>
        <v>6000</v>
      </c>
      <c r="N87" s="95">
        <f ca="1">cc_In_Focus*cc_Show_Type*cc_Show_Remaining_Budget*IF(cc_Delta&gt;0, cc_Delta, 0)</f>
        <v>164000</v>
      </c>
      <c r="O87" s="95">
        <f ca="1">cc_In_Focus*cc_Show_Type*IF(cc_Delta&lt;0,ABS(cc_Delta),0)</f>
        <v>0</v>
      </c>
      <c r="P87" s="95">
        <f ca="1">NOT(cc_In_Focus)*cc_Show_Type*MIN(cc_tracked, cc_Budget)</f>
        <v>0</v>
      </c>
      <c r="Q87" s="95">
        <f ca="1">NOT(cc_In_Focus)*cc_Show_Type*cc_Show_Remaining_Budget*IF(cc_Delta&gt;0, cc_Delta, 0)</f>
        <v>0</v>
      </c>
      <c r="R87" s="95">
        <f ca="1">NOT(cc_In_Focus)*cc_Show_Type*IF(cc_Delta&lt;0,ABS(cc_Delta),0)</f>
        <v>0</v>
      </c>
    </row>
    <row r="88" spans="3:18" x14ac:dyDescent="0.3">
      <c r="C88" s="212"/>
      <c r="D88" s="34" t="s">
        <v>17</v>
      </c>
      <c r="E88" s="34">
        <f>MONTH(C87)</f>
        <v>9</v>
      </c>
      <c r="F88" s="34">
        <f>IF(selected_period="Total Year", 1, IF(selected_period=cc_month_Number, 1, 0))</f>
        <v>1</v>
      </c>
      <c r="G88" s="34">
        <f>1*$D$50</f>
        <v>1</v>
      </c>
      <c r="H88" s="34">
        <f t="shared" si="0"/>
        <v>1</v>
      </c>
      <c r="I88" s="95" cm="1">
        <f t="array" ref="I88" xml:space="preserve"> SUM(TrackingTable[Amount] * (TrackingTable[Type]= cc_type) * (YEAR(TrackingTable[Effective Date])=selected_year) * (MONTH(TrackingTable[Effective Date])=cc_month_Number))</f>
        <v>26000</v>
      </c>
      <c r="J88" s="95" cm="1">
        <f t="array" aca="1" ref="J88" ca="1">INDEX('Budget Plannning'!$D:$GB, expenditure_total_row, MATCH(DATE(selected_year, cc_month_Number, 1), 'Budget Plannning'!$D$7:$GB$7, 0))</f>
        <v>162000</v>
      </c>
      <c r="K88" s="95">
        <f ca="1">cc_Budget-cc_tracked</f>
        <v>136000</v>
      </c>
      <c r="L88" s="34"/>
      <c r="M88" s="95">
        <f ca="1">cc_In_Focus*cc_Show_Type*MIN(cc_tracked, cc_Budget)</f>
        <v>26000</v>
      </c>
      <c r="N88" s="95">
        <f ca="1">cc_In_Focus*cc_Show_Type*cc_Show_Remaining_Budget*IF(cc_Delta&gt;0, cc_Delta, 0)</f>
        <v>136000</v>
      </c>
      <c r="O88" s="95">
        <f ca="1">cc_In_Focus*cc_Show_Type*IF(cc_Delta&lt;0,ABS(cc_Delta),0)</f>
        <v>0</v>
      </c>
      <c r="P88" s="95">
        <f ca="1">NOT(cc_In_Focus)*cc_Show_Type*MIN(cc_tracked, cc_Budget)</f>
        <v>0</v>
      </c>
      <c r="Q88" s="95">
        <f ca="1">NOT(cc_In_Focus)*cc_Show_Type*cc_Show_Remaining_Budget*IF(cc_Delta&gt;0, cc_Delta, 0)</f>
        <v>0</v>
      </c>
      <c r="R88" s="95">
        <f ca="1">NOT(cc_In_Focus)*cc_Show_Type*IF(cc_Delta&lt;0,ABS(cc_Delta),0)</f>
        <v>0</v>
      </c>
    </row>
    <row r="89" spans="3:18" x14ac:dyDescent="0.3">
      <c r="C89" s="212"/>
      <c r="D89" s="34" t="s">
        <v>32</v>
      </c>
      <c r="E89" s="34">
        <f>MONTH(C87)</f>
        <v>9</v>
      </c>
      <c r="F89" s="34">
        <f>IF(selected_period="Total Year", 1, IF(selected_period=cc_month_Number, 1, 0))</f>
        <v>1</v>
      </c>
      <c r="G89" s="34">
        <f>1*$D$51</f>
        <v>1</v>
      </c>
      <c r="H89" s="34">
        <f t="shared" si="0"/>
        <v>1</v>
      </c>
      <c r="I89" s="95" cm="1">
        <f t="array" ref="I89" xml:space="preserve"> SUM(TrackingTable[Amount] * (TrackingTable[Type]= cc_type) * (YEAR(TrackingTable[Effective Date])=selected_year) * (MONTH(TrackingTable[Effective Date])=cc_month_Number))</f>
        <v>10000</v>
      </c>
      <c r="J89" s="95" cm="1">
        <f t="array" aca="1" ref="J89" ca="1">INDEX('Budget Plannning'!$D:$GB, savings_total_row, MATCH(DATE(selected_year, cc_month_Number, 1), 'Budget Plannning'!$D$7:$GB$7, 0))</f>
        <v>9000</v>
      </c>
      <c r="K89" s="95">
        <f ca="1">cc_Budget-cc_tracked</f>
        <v>-1000</v>
      </c>
      <c r="L89" s="34"/>
      <c r="M89" s="95">
        <f ca="1">cc_In_Focus*cc_Show_Type*MIN(cc_tracked, cc_Budget)</f>
        <v>9000</v>
      </c>
      <c r="N89" s="95">
        <f ca="1">cc_In_Focus*cc_Show_Type*cc_Show_Remaining_Budget*IF(cc_Delta&gt;0, cc_Delta, 0)</f>
        <v>0</v>
      </c>
      <c r="O89" s="95">
        <f ca="1">cc_In_Focus*cc_Show_Type*IF(cc_Delta&lt;0,ABS(cc_Delta),0)</f>
        <v>1000</v>
      </c>
      <c r="P89" s="95">
        <f ca="1">NOT(cc_In_Focus)*cc_Show_Type*MIN(cc_tracked, cc_Budget)</f>
        <v>0</v>
      </c>
      <c r="Q89" s="95">
        <f ca="1">NOT(cc_In_Focus)*cc_Show_Type*cc_Show_Remaining_Budget*IF(cc_Delta&gt;0, cc_Delta, 0)</f>
        <v>0</v>
      </c>
      <c r="R89" s="95">
        <f ca="1">NOT(cc_In_Focus)*cc_Show_Type*IF(cc_Delta&lt;0,ABS(cc_Delta),0)</f>
        <v>0</v>
      </c>
    </row>
    <row r="90" spans="3:18" ht="15" thickBot="1" x14ac:dyDescent="0.35">
      <c r="C90" s="213"/>
      <c r="D90" s="96"/>
      <c r="E90" s="96"/>
      <c r="F90" s="96"/>
      <c r="G90" s="96"/>
      <c r="H90" s="96"/>
      <c r="I90" s="97"/>
      <c r="J90" s="97"/>
      <c r="K90" s="97"/>
      <c r="L90" s="96"/>
      <c r="M90" s="96"/>
      <c r="N90" s="96"/>
      <c r="O90" s="96"/>
      <c r="P90" s="96"/>
      <c r="Q90" s="96"/>
      <c r="R90" s="96"/>
    </row>
    <row r="91" spans="3:18" x14ac:dyDescent="0.3">
      <c r="C91" s="211">
        <f>DATE(selected_year,10,1)</f>
        <v>45566</v>
      </c>
      <c r="D91" s="98" t="s">
        <v>12</v>
      </c>
      <c r="E91" s="34">
        <f>MONTH(C91)</f>
        <v>10</v>
      </c>
      <c r="F91" s="34">
        <f>IF(selected_period="Total Year", 1, IF(selected_period=cc_month_Number, 1, 0))</f>
        <v>1</v>
      </c>
      <c r="G91" s="34">
        <f>1*$D$49</f>
        <v>1</v>
      </c>
      <c r="H91" s="34">
        <f>1*$D$52</f>
        <v>1</v>
      </c>
      <c r="I91" s="95" cm="1">
        <f t="array" ref="I91" xml:space="preserve"> SUM(TrackingTable[Amount] * (TrackingTable[Type]= cc_type) * (YEAR(TrackingTable[Effective Date])=selected_year) * (MONTH(TrackingTable[Effective Date])=cc_month_Number))</f>
        <v>0</v>
      </c>
      <c r="J91" s="95" cm="1">
        <f t="array" aca="1" ref="J91" ca="1">INDEX('Budget Plannning'!$D:$GB, income_total_row, MATCH(DATE(selected_year, cc_month_Number, 1), 'Budget Plannning'!$D$7:$GB$7, 0))</f>
        <v>170000</v>
      </c>
      <c r="K91" s="95">
        <f ca="1">cc_Budget-cc_tracked</f>
        <v>170000</v>
      </c>
      <c r="L91" s="98"/>
      <c r="M91" s="95">
        <f ca="1">cc_In_Focus*cc_Show_Type*MIN(cc_tracked, cc_Budget)</f>
        <v>0</v>
      </c>
      <c r="N91" s="95">
        <f ca="1">cc_In_Focus*cc_Show_Type*cc_Show_Remaining_Budget*IF(cc_Delta&gt;0, cc_Delta, 0)</f>
        <v>170000</v>
      </c>
      <c r="O91" s="95">
        <f ca="1">cc_In_Focus*cc_Show_Type*IF(cc_Delta&lt;0,ABS(cc_Delta),0)</f>
        <v>0</v>
      </c>
      <c r="P91" s="95">
        <f ca="1">NOT(cc_In_Focus)*cc_Show_Type*MIN(cc_tracked, cc_Budget)</f>
        <v>0</v>
      </c>
      <c r="Q91" s="95">
        <f ca="1">NOT(cc_In_Focus)*cc_Show_Type*cc_Show_Remaining_Budget*IF(cc_Delta&gt;0, cc_Delta, 0)</f>
        <v>0</v>
      </c>
      <c r="R91" s="95">
        <f ca="1">NOT(cc_In_Focus)*cc_Show_Type*IF(cc_Delta&lt;0,ABS(cc_Delta),0)</f>
        <v>0</v>
      </c>
    </row>
    <row r="92" spans="3:18" x14ac:dyDescent="0.3">
      <c r="C92" s="212"/>
      <c r="D92" s="34" t="s">
        <v>17</v>
      </c>
      <c r="E92" s="34">
        <f>MONTH(C91)</f>
        <v>10</v>
      </c>
      <c r="F92" s="34">
        <f>IF(selected_period="Total Year", 1, IF(selected_period=cc_month_Number, 1, 0))</f>
        <v>1</v>
      </c>
      <c r="G92" s="34">
        <f>1*$D$50</f>
        <v>1</v>
      </c>
      <c r="H92" s="34">
        <f t="shared" si="0"/>
        <v>1</v>
      </c>
      <c r="I92" s="95" cm="1">
        <f t="array" ref="I92" xml:space="preserve"> SUM(TrackingTable[Amount] * (TrackingTable[Type]= cc_type) * (YEAR(TrackingTable[Effective Date])=selected_year) * (MONTH(TrackingTable[Effective Date])=cc_month_Number))</f>
        <v>0</v>
      </c>
      <c r="J92" s="95" cm="1">
        <f t="array" aca="1" ref="J92" ca="1">INDEX('Budget Plannning'!$D:$GB, expenditure_total_row, MATCH(DATE(selected_year, cc_month_Number, 1), 'Budget Plannning'!$D$7:$GB$7, 0))</f>
        <v>132000</v>
      </c>
      <c r="K92" s="95">
        <f ca="1">cc_Budget-cc_tracked</f>
        <v>132000</v>
      </c>
      <c r="L92" s="34"/>
      <c r="M92" s="95">
        <f ca="1">cc_In_Focus*cc_Show_Type*MIN(cc_tracked, cc_Budget)</f>
        <v>0</v>
      </c>
      <c r="N92" s="95">
        <f ca="1">cc_In_Focus*cc_Show_Type*cc_Show_Remaining_Budget*IF(cc_Delta&gt;0, cc_Delta, 0)</f>
        <v>132000</v>
      </c>
      <c r="O92" s="95">
        <f ca="1">cc_In_Focus*cc_Show_Type*IF(cc_Delta&lt;0,ABS(cc_Delta),0)</f>
        <v>0</v>
      </c>
      <c r="P92" s="95">
        <f ca="1">NOT(cc_In_Focus)*cc_Show_Type*MIN(cc_tracked, cc_Budget)</f>
        <v>0</v>
      </c>
      <c r="Q92" s="95">
        <f ca="1">NOT(cc_In_Focus)*cc_Show_Type*cc_Show_Remaining_Budget*IF(cc_Delta&gt;0, cc_Delta, 0)</f>
        <v>0</v>
      </c>
      <c r="R92" s="95">
        <f ca="1">NOT(cc_In_Focus)*cc_Show_Type*IF(cc_Delta&lt;0,ABS(cc_Delta),0)</f>
        <v>0</v>
      </c>
    </row>
    <row r="93" spans="3:18" x14ac:dyDescent="0.3">
      <c r="C93" s="212"/>
      <c r="D93" s="34" t="s">
        <v>32</v>
      </c>
      <c r="E93" s="34">
        <f>MONTH(C91)</f>
        <v>10</v>
      </c>
      <c r="F93" s="34">
        <f>IF(selected_period="Total Year", 1, IF(selected_period=cc_month_Number, 1, 0))</f>
        <v>1</v>
      </c>
      <c r="G93" s="34">
        <f>1*$D$51</f>
        <v>1</v>
      </c>
      <c r="H93" s="34">
        <f t="shared" si="0"/>
        <v>1</v>
      </c>
      <c r="I93" s="95" cm="1">
        <f t="array" ref="I93" xml:space="preserve"> SUM(TrackingTable[Amount] * (TrackingTable[Type]= cc_type) * (YEAR(TrackingTable[Effective Date])=selected_year) * (MONTH(TrackingTable[Effective Date])=cc_month_Number))</f>
        <v>0</v>
      </c>
      <c r="J93" s="95" cm="1">
        <f t="array" aca="1" ref="J93" ca="1">INDEX('Budget Plannning'!$D:$GB, savings_total_row, MATCH(DATE(selected_year, cc_month_Number, 1), 'Budget Plannning'!$D$7:$GB$7, 0))</f>
        <v>9000</v>
      </c>
      <c r="K93" s="95">
        <f ca="1">cc_Budget-cc_tracked</f>
        <v>9000</v>
      </c>
      <c r="L93" s="34"/>
      <c r="M93" s="95">
        <f ca="1">cc_In_Focus*cc_Show_Type*MIN(cc_tracked, cc_Budget)</f>
        <v>0</v>
      </c>
      <c r="N93" s="95">
        <f ca="1">cc_In_Focus*cc_Show_Type*cc_Show_Remaining_Budget*IF(cc_Delta&gt;0, cc_Delta, 0)</f>
        <v>9000</v>
      </c>
      <c r="O93" s="95">
        <f ca="1">cc_In_Focus*cc_Show_Type*IF(cc_Delta&lt;0,ABS(cc_Delta),0)</f>
        <v>0</v>
      </c>
      <c r="P93" s="95">
        <f ca="1">NOT(cc_In_Focus)*cc_Show_Type*MIN(cc_tracked, cc_Budget)</f>
        <v>0</v>
      </c>
      <c r="Q93" s="95">
        <f ca="1">NOT(cc_In_Focus)*cc_Show_Type*cc_Show_Remaining_Budget*IF(cc_Delta&gt;0, cc_Delta, 0)</f>
        <v>0</v>
      </c>
      <c r="R93" s="95">
        <f ca="1">NOT(cc_In_Focus)*cc_Show_Type*IF(cc_Delta&lt;0,ABS(cc_Delta),0)</f>
        <v>0</v>
      </c>
    </row>
    <row r="94" spans="3:18" ht="15" thickBot="1" x14ac:dyDescent="0.35">
      <c r="C94" s="213"/>
      <c r="D94" s="96"/>
      <c r="E94" s="96"/>
      <c r="F94" s="96"/>
      <c r="G94" s="96"/>
      <c r="H94" s="96"/>
      <c r="I94" s="97"/>
      <c r="J94" s="97"/>
      <c r="K94" s="97"/>
      <c r="L94" s="96"/>
      <c r="M94" s="96"/>
      <c r="N94" s="96"/>
      <c r="O94" s="96"/>
      <c r="P94" s="96"/>
      <c r="Q94" s="96"/>
      <c r="R94" s="96"/>
    </row>
    <row r="95" spans="3:18" x14ac:dyDescent="0.3">
      <c r="C95" s="211">
        <f>DATE(selected_year,11,1)</f>
        <v>45597</v>
      </c>
      <c r="D95" s="98" t="s">
        <v>12</v>
      </c>
      <c r="E95" s="34">
        <f>MONTH(C95)</f>
        <v>11</v>
      </c>
      <c r="F95" s="34">
        <f>IF(selected_period="Total Year", 1, IF(selected_period=cc_month_Number, 1, 0))</f>
        <v>1</v>
      </c>
      <c r="G95" s="34">
        <f>1*$D$49</f>
        <v>1</v>
      </c>
      <c r="H95" s="34">
        <f>1*$D$52</f>
        <v>1</v>
      </c>
      <c r="I95" s="95" cm="1">
        <f t="array" ref="I95" xml:space="preserve"> SUM(TrackingTable[Amount] * (TrackingTable[Type]= cc_type) * (YEAR(TrackingTable[Effective Date])=selected_year) * (MONTH(TrackingTable[Effective Date])=cc_month_Number))</f>
        <v>0</v>
      </c>
      <c r="J95" s="95" cm="1">
        <f t="array" aca="1" ref="J95" ca="1">INDEX('Budget Plannning'!$D:$GB, income_total_row, MATCH(DATE(selected_year, cc_month_Number, 1), 'Budget Plannning'!$D$7:$GB$7, 0))</f>
        <v>170000</v>
      </c>
      <c r="K95" s="95">
        <f ca="1">cc_Budget-cc_tracked</f>
        <v>170000</v>
      </c>
      <c r="L95" s="98"/>
      <c r="M95" s="95">
        <f ca="1">cc_In_Focus*cc_Show_Type*MIN(cc_tracked, cc_Budget)</f>
        <v>0</v>
      </c>
      <c r="N95" s="95">
        <f ca="1">cc_In_Focus*cc_Show_Type*cc_Show_Remaining_Budget*IF(cc_Delta&gt;0, cc_Delta, 0)</f>
        <v>170000</v>
      </c>
      <c r="O95" s="95">
        <f ca="1">cc_In_Focus*cc_Show_Type*IF(cc_Delta&lt;0,ABS(cc_Delta),0)</f>
        <v>0</v>
      </c>
      <c r="P95" s="95">
        <f ca="1">NOT(cc_In_Focus)*cc_Show_Type*MIN(cc_tracked, cc_Budget)</f>
        <v>0</v>
      </c>
      <c r="Q95" s="95">
        <f ca="1">NOT(cc_In_Focus)*cc_Show_Type*cc_Show_Remaining_Budget*IF(cc_Delta&gt;0, cc_Delta, 0)</f>
        <v>0</v>
      </c>
      <c r="R95" s="95">
        <f ca="1">NOT(cc_In_Focus)*cc_Show_Type*IF(cc_Delta&lt;0,ABS(cc_Delta),0)</f>
        <v>0</v>
      </c>
    </row>
    <row r="96" spans="3:18" x14ac:dyDescent="0.3">
      <c r="C96" s="212"/>
      <c r="D96" s="34" t="s">
        <v>17</v>
      </c>
      <c r="E96" s="34">
        <f>MONTH(C95)</f>
        <v>11</v>
      </c>
      <c r="F96" s="34">
        <f>IF(selected_period="Total Year", 1, IF(selected_period=cc_month_Number, 1, 0))</f>
        <v>1</v>
      </c>
      <c r="G96" s="34">
        <f>1*$D$50</f>
        <v>1</v>
      </c>
      <c r="H96" s="34">
        <f t="shared" si="0"/>
        <v>1</v>
      </c>
      <c r="I96" s="95" cm="1">
        <f t="array" ref="I96" xml:space="preserve"> SUM(TrackingTable[Amount] * (TrackingTable[Type]= cc_type) * (YEAR(TrackingTable[Effective Date])=selected_year) * (MONTH(TrackingTable[Effective Date])=cc_month_Number))</f>
        <v>0</v>
      </c>
      <c r="J96" s="95" cm="1">
        <f t="array" aca="1" ref="J96" ca="1">INDEX('Budget Plannning'!$D:$GB, expenditure_total_row, MATCH(DATE(selected_year, cc_month_Number, 1), 'Budget Plannning'!$D$7:$GB$7, 0))</f>
        <v>132300</v>
      </c>
      <c r="K96" s="95">
        <f ca="1">cc_Budget-cc_tracked</f>
        <v>132300</v>
      </c>
      <c r="L96" s="34"/>
      <c r="M96" s="95">
        <f ca="1">cc_In_Focus*cc_Show_Type*MIN(cc_tracked, cc_Budget)</f>
        <v>0</v>
      </c>
      <c r="N96" s="95">
        <f ca="1">cc_In_Focus*cc_Show_Type*cc_Show_Remaining_Budget*IF(cc_Delta&gt;0, cc_Delta, 0)</f>
        <v>132300</v>
      </c>
      <c r="O96" s="95">
        <f ca="1">cc_In_Focus*cc_Show_Type*IF(cc_Delta&lt;0,ABS(cc_Delta),0)</f>
        <v>0</v>
      </c>
      <c r="P96" s="95">
        <f ca="1">NOT(cc_In_Focus)*cc_Show_Type*MIN(cc_tracked, cc_Budget)</f>
        <v>0</v>
      </c>
      <c r="Q96" s="95">
        <f ca="1">NOT(cc_In_Focus)*cc_Show_Type*cc_Show_Remaining_Budget*IF(cc_Delta&gt;0, cc_Delta, 0)</f>
        <v>0</v>
      </c>
      <c r="R96" s="95">
        <f ca="1">NOT(cc_In_Focus)*cc_Show_Type*IF(cc_Delta&lt;0,ABS(cc_Delta),0)</f>
        <v>0</v>
      </c>
    </row>
    <row r="97" spans="3:18" x14ac:dyDescent="0.3">
      <c r="C97" s="212"/>
      <c r="D97" s="34" t="s">
        <v>32</v>
      </c>
      <c r="E97" s="34">
        <f>MONTH(C95)</f>
        <v>11</v>
      </c>
      <c r="F97" s="34">
        <f>IF(selected_period="Total Year", 1, IF(selected_period=cc_month_Number, 1, 0))</f>
        <v>1</v>
      </c>
      <c r="G97" s="34">
        <f>1*$D$51</f>
        <v>1</v>
      </c>
      <c r="H97" s="34">
        <f t="shared" si="0"/>
        <v>1</v>
      </c>
      <c r="I97" s="95" cm="1">
        <f t="array" ref="I97" xml:space="preserve"> SUM(TrackingTable[Amount] * (TrackingTable[Type]= cc_type) * (YEAR(TrackingTable[Effective Date])=selected_year) * (MONTH(TrackingTable[Effective Date])=cc_month_Number))</f>
        <v>0</v>
      </c>
      <c r="J97" s="95" cm="1">
        <f t="array" aca="1" ref="J97" ca="1">INDEX('Budget Plannning'!$D:$GB, savings_total_row, MATCH(DATE(selected_year, cc_month_Number, 1), 'Budget Plannning'!$D$7:$GB$7, 0))</f>
        <v>24000</v>
      </c>
      <c r="K97" s="95">
        <f ca="1">cc_Budget-cc_tracked</f>
        <v>24000</v>
      </c>
      <c r="L97" s="34"/>
      <c r="M97" s="95">
        <f ca="1">cc_In_Focus*cc_Show_Type*MIN(cc_tracked, cc_Budget)</f>
        <v>0</v>
      </c>
      <c r="N97" s="95">
        <f ca="1">cc_In_Focus*cc_Show_Type*cc_Show_Remaining_Budget*IF(cc_Delta&gt;0, cc_Delta, 0)</f>
        <v>24000</v>
      </c>
      <c r="O97" s="95">
        <f ca="1">cc_In_Focus*cc_Show_Type*IF(cc_Delta&lt;0,ABS(cc_Delta),0)</f>
        <v>0</v>
      </c>
      <c r="P97" s="95">
        <f ca="1">NOT(cc_In_Focus)*cc_Show_Type*MIN(cc_tracked, cc_Budget)</f>
        <v>0</v>
      </c>
      <c r="Q97" s="95">
        <f ca="1">NOT(cc_In_Focus)*cc_Show_Type*cc_Show_Remaining_Budget*IF(cc_Delta&gt;0, cc_Delta, 0)</f>
        <v>0</v>
      </c>
      <c r="R97" s="95">
        <f ca="1">NOT(cc_In_Focus)*cc_Show_Type*IF(cc_Delta&lt;0,ABS(cc_Delta),0)</f>
        <v>0</v>
      </c>
    </row>
    <row r="98" spans="3:18" ht="15" thickBot="1" x14ac:dyDescent="0.35">
      <c r="C98" s="213"/>
      <c r="D98" s="96"/>
      <c r="E98" s="96"/>
      <c r="F98" s="96"/>
      <c r="G98" s="96"/>
      <c r="H98" s="96"/>
      <c r="I98" s="97"/>
      <c r="J98" s="97"/>
      <c r="K98" s="97"/>
      <c r="L98" s="96"/>
      <c r="M98" s="96"/>
      <c r="N98" s="96"/>
      <c r="O98" s="96"/>
      <c r="P98" s="96"/>
      <c r="Q98" s="96"/>
      <c r="R98" s="96"/>
    </row>
    <row r="99" spans="3:18" x14ac:dyDescent="0.3">
      <c r="C99" s="211">
        <f>DATE(selected_year,12,1)</f>
        <v>45627</v>
      </c>
      <c r="D99" s="98" t="s">
        <v>12</v>
      </c>
      <c r="E99" s="34">
        <f>MONTH(C99)</f>
        <v>12</v>
      </c>
      <c r="F99" s="34">
        <f>IF(selected_period="Total Year", 1, IF(selected_period=cc_month_Number, 1, 0))</f>
        <v>1</v>
      </c>
      <c r="G99" s="34">
        <f>1*$D$49</f>
        <v>1</v>
      </c>
      <c r="H99" s="34">
        <f>1*$D$52</f>
        <v>1</v>
      </c>
      <c r="I99" s="95" cm="1">
        <f t="array" ref="I99" xml:space="preserve"> SUM(TrackingTable[Amount] * (TrackingTable[Type]= cc_type) * (YEAR(TrackingTable[Effective Date])=selected_year) * (MONTH(TrackingTable[Effective Date])=cc_month_Number))</f>
        <v>0</v>
      </c>
      <c r="J99" s="95" cm="1">
        <f t="array" aca="1" ref="J99" ca="1">INDEX('Budget Plannning'!$D:$GB, income_total_row, MATCH(DATE(selected_year, cc_month_Number, 1), 'Budget Plannning'!$D$7:$GB$7, 0))</f>
        <v>170000</v>
      </c>
      <c r="K99" s="95">
        <f ca="1">cc_Budget-cc_tracked</f>
        <v>170000</v>
      </c>
      <c r="L99" s="98"/>
      <c r="M99" s="95">
        <f ca="1">cc_In_Focus*cc_Show_Type*MIN(cc_tracked, cc_Budget)</f>
        <v>0</v>
      </c>
      <c r="N99" s="95">
        <f ca="1">cc_In_Focus*cc_Show_Type*cc_Show_Remaining_Budget*IF(cc_Delta&gt;0, cc_Delta, 0)</f>
        <v>170000</v>
      </c>
      <c r="O99" s="95">
        <f ca="1">cc_In_Focus*cc_Show_Type*IF(cc_Delta&lt;0,ABS(cc_Delta),0)</f>
        <v>0</v>
      </c>
      <c r="P99" s="95">
        <f ca="1">NOT(cc_In_Focus)*cc_Show_Type*MIN(cc_tracked, cc_Budget)</f>
        <v>0</v>
      </c>
      <c r="Q99" s="95">
        <f ca="1">NOT(cc_In_Focus)*cc_Show_Type*cc_Show_Remaining_Budget*IF(cc_Delta&gt;0, cc_Delta, 0)</f>
        <v>0</v>
      </c>
      <c r="R99" s="95">
        <f ca="1">NOT(cc_In_Focus)*cc_Show_Type*IF(cc_Delta&lt;0,ABS(cc_Delta),0)</f>
        <v>0</v>
      </c>
    </row>
    <row r="100" spans="3:18" x14ac:dyDescent="0.3">
      <c r="C100" s="212"/>
      <c r="D100" s="34" t="s">
        <v>17</v>
      </c>
      <c r="E100" s="34">
        <f>MONTH(C99)</f>
        <v>12</v>
      </c>
      <c r="F100" s="34">
        <f>IF(selected_period="Total Year", 1, IF(selected_period=cc_month_Number, 1, 0))</f>
        <v>1</v>
      </c>
      <c r="G100" s="34">
        <f>1*$D$50</f>
        <v>1</v>
      </c>
      <c r="H100" s="34">
        <f t="shared" si="0"/>
        <v>1</v>
      </c>
      <c r="I100" s="95" cm="1">
        <f t="array" ref="I100" xml:space="preserve"> SUM(TrackingTable[Amount] * (TrackingTable[Type]= cc_type) * (YEAR(TrackingTable[Effective Date])=selected_year) * (MONTH(TrackingTable[Effective Date])=cc_month_Number))</f>
        <v>0</v>
      </c>
      <c r="J100" s="95" cm="1">
        <f t="array" aca="1" ref="J100" ca="1">INDEX('Budget Plannning'!$D:$GB, expenditure_total_row, MATCH(DATE(selected_year, cc_month_Number, 1), 'Budget Plannning'!$D$7:$GB$7, 0))</f>
        <v>112300</v>
      </c>
      <c r="K100" s="95">
        <f ca="1">cc_Budget-cc_tracked</f>
        <v>112300</v>
      </c>
      <c r="L100" s="34"/>
      <c r="M100" s="95">
        <f ca="1">cc_In_Focus*cc_Show_Type*MIN(cc_tracked, cc_Budget)</f>
        <v>0</v>
      </c>
      <c r="N100" s="95">
        <f ca="1">cc_In_Focus*cc_Show_Type*cc_Show_Remaining_Budget*IF(cc_Delta&gt;0, cc_Delta, 0)</f>
        <v>112300</v>
      </c>
      <c r="O100" s="95">
        <f ca="1">cc_In_Focus*cc_Show_Type*IF(cc_Delta&lt;0,ABS(cc_Delta),0)</f>
        <v>0</v>
      </c>
      <c r="P100" s="95">
        <f ca="1">NOT(cc_In_Focus)*cc_Show_Type*MIN(cc_tracked, cc_Budget)</f>
        <v>0</v>
      </c>
      <c r="Q100" s="95">
        <f ca="1">NOT(cc_In_Focus)*cc_Show_Type*cc_Show_Remaining_Budget*IF(cc_Delta&gt;0, cc_Delta, 0)</f>
        <v>0</v>
      </c>
      <c r="R100" s="95">
        <f ca="1">NOT(cc_In_Focus)*cc_Show_Type*IF(cc_Delta&lt;0,ABS(cc_Delta),0)</f>
        <v>0</v>
      </c>
    </row>
    <row r="101" spans="3:18" x14ac:dyDescent="0.3">
      <c r="C101" s="212"/>
      <c r="D101" s="34" t="s">
        <v>32</v>
      </c>
      <c r="E101" s="34">
        <f>MONTH(C99)</f>
        <v>12</v>
      </c>
      <c r="F101" s="34">
        <f>IF(selected_period="Total Year", 1, IF(selected_period=cc_month_Number, 1, 0))</f>
        <v>1</v>
      </c>
      <c r="G101" s="34">
        <f>1*$D$51</f>
        <v>1</v>
      </c>
      <c r="H101" s="34">
        <f t="shared" si="0"/>
        <v>1</v>
      </c>
      <c r="I101" s="95" cm="1">
        <f t="array" ref="I101" xml:space="preserve"> SUM(TrackingTable[Amount] * (TrackingTable[Type]= cc_type) * (YEAR(TrackingTable[Effective Date])=selected_year) * (MONTH(TrackingTable[Effective Date])=cc_month_Number))</f>
        <v>0</v>
      </c>
      <c r="J101" s="95" cm="1">
        <f t="array" aca="1" ref="J101" ca="1">INDEX('Budget Plannning'!$D:$GB, savings_total_row, MATCH(DATE(selected_year, cc_month_Number, 1), 'Budget Plannning'!$D$7:$GB$7, 0))</f>
        <v>29000</v>
      </c>
      <c r="K101" s="95">
        <f ca="1">cc_Budget-cc_tracked</f>
        <v>29000</v>
      </c>
      <c r="L101" s="34"/>
      <c r="M101" s="95">
        <f ca="1">cc_In_Focus*cc_Show_Type*MIN(cc_tracked, cc_Budget)</f>
        <v>0</v>
      </c>
      <c r="N101" s="95">
        <f ca="1">cc_In_Focus*cc_Show_Type*cc_Show_Remaining_Budget*IF(cc_Delta&gt;0, cc_Delta, 0)</f>
        <v>29000</v>
      </c>
      <c r="O101" s="95">
        <f ca="1">cc_In_Focus*cc_Show_Type*IF(cc_Delta&lt;0,ABS(cc_Delta),0)</f>
        <v>0</v>
      </c>
      <c r="P101" s="95">
        <f ca="1">NOT(cc_In_Focus)*cc_Show_Type*MIN(cc_tracked, cc_Budget)</f>
        <v>0</v>
      </c>
      <c r="Q101" s="95">
        <f ca="1">NOT(cc_In_Focus)*cc_Show_Type*cc_Show_Remaining_Budget*IF(cc_Delta&gt;0, cc_Delta, 0)</f>
        <v>0</v>
      </c>
      <c r="R101" s="95">
        <f ca="1">NOT(cc_In_Focus)*cc_Show_Type*IF(cc_Delta&lt;0,ABS(cc_Delta),0)</f>
        <v>0</v>
      </c>
    </row>
    <row r="102" spans="3:18" x14ac:dyDescent="0.3">
      <c r="C102" s="213"/>
      <c r="D102" s="96"/>
      <c r="E102" s="96"/>
      <c r="F102" s="96"/>
      <c r="G102" s="96"/>
      <c r="H102" s="96"/>
      <c r="I102" s="97"/>
      <c r="J102" s="97"/>
      <c r="K102" s="97"/>
      <c r="L102" s="96"/>
      <c r="M102" s="96"/>
      <c r="N102" s="96"/>
      <c r="O102" s="96"/>
      <c r="P102" s="96"/>
      <c r="Q102" s="96"/>
      <c r="R102" s="96"/>
    </row>
  </sheetData>
  <sheetProtection sheet="1" formatCells="0" formatColumns="0" formatRows="0" insertColumns="0" insertRows="0" insertHyperlinks="0" deleteColumns="0" deleteRows="0" sort="0" autoFilter="0" pivotTables="0"/>
  <mergeCells count="16">
    <mergeCell ref="C99:C102"/>
    <mergeCell ref="C75:C78"/>
    <mergeCell ref="C79:C82"/>
    <mergeCell ref="C83:C86"/>
    <mergeCell ref="C87:C90"/>
    <mergeCell ref="C91:C94"/>
    <mergeCell ref="C59:C62"/>
    <mergeCell ref="C63:C66"/>
    <mergeCell ref="C67:C70"/>
    <mergeCell ref="C71:C74"/>
    <mergeCell ref="C95:C98"/>
    <mergeCell ref="B3:E3"/>
    <mergeCell ref="B14:E14"/>
    <mergeCell ref="M53:O53"/>
    <mergeCell ref="P53:R53"/>
    <mergeCell ref="C55:C58"/>
  </mergeCells>
  <phoneticPr fontId="5" type="noConversion"/>
  <conditionalFormatting sqref="D22">
    <cfRule type="cellIs" dxfId="0" priority="1" operator="lessThan">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EB511-0BD7-4E5D-8619-E0C3DB875B07}">
  <sheetPr codeName="Sheet6">
    <tabColor rgb="FFB4F1CF"/>
  </sheetPr>
  <dimension ref="B1:F18"/>
  <sheetViews>
    <sheetView showGridLines="0" zoomScale="80" zoomScaleNormal="80" workbookViewId="0">
      <selection activeCell="R29" sqref="R29"/>
    </sheetView>
  </sheetViews>
  <sheetFormatPr defaultColWidth="9.109375" defaultRowHeight="14.4" x14ac:dyDescent="0.3"/>
  <cols>
    <col min="1" max="1" width="6.5546875" style="6" customWidth="1"/>
    <col min="2" max="2" width="32" style="7" customWidth="1"/>
    <col min="3" max="3" width="7.109375" style="6" customWidth="1"/>
    <col min="4" max="4" width="32.5546875" style="6" customWidth="1"/>
    <col min="5" max="5" width="9.109375" style="6"/>
    <col min="6" max="6" width="9.109375" style="99"/>
    <col min="7" max="16384" width="9.109375" style="6"/>
  </cols>
  <sheetData>
    <row r="1" spans="2:4" s="2" customFormat="1" ht="47.4" customHeight="1" x14ac:dyDescent="0.3">
      <c r="B1" s="2" t="s">
        <v>264</v>
      </c>
    </row>
    <row r="2" spans="2:4" ht="11.4" customHeight="1" x14ac:dyDescent="0.3"/>
    <row r="3" spans="2:4" ht="15" thickBot="1" x14ac:dyDescent="0.35"/>
    <row r="4" spans="2:4" ht="15" thickBot="1" x14ac:dyDescent="0.35">
      <c r="B4" s="100" t="s">
        <v>265</v>
      </c>
      <c r="D4" s="100" t="s">
        <v>266</v>
      </c>
    </row>
    <row r="5" spans="2:4" x14ac:dyDescent="0.3">
      <c r="B5" s="101" t="s">
        <v>55</v>
      </c>
      <c r="D5" s="101" t="s">
        <v>267</v>
      </c>
    </row>
    <row r="6" spans="2:4" x14ac:dyDescent="0.3">
      <c r="B6" s="101">
        <f>starting_year</f>
        <v>2024</v>
      </c>
      <c r="D6" s="101" t="s">
        <v>58</v>
      </c>
    </row>
    <row r="7" spans="2:4" x14ac:dyDescent="0.3">
      <c r="B7" s="101">
        <f>B6+1</f>
        <v>2025</v>
      </c>
      <c r="D7" s="102">
        <v>36526</v>
      </c>
    </row>
    <row r="8" spans="2:4" x14ac:dyDescent="0.3">
      <c r="B8" s="101">
        <f t="shared" ref="B8:B18" si="0">B7+1</f>
        <v>2026</v>
      </c>
      <c r="D8" s="102">
        <v>36557</v>
      </c>
    </row>
    <row r="9" spans="2:4" x14ac:dyDescent="0.3">
      <c r="B9" s="101">
        <f t="shared" si="0"/>
        <v>2027</v>
      </c>
      <c r="D9" s="102">
        <v>36586</v>
      </c>
    </row>
    <row r="10" spans="2:4" x14ac:dyDescent="0.3">
      <c r="B10" s="101">
        <f t="shared" si="0"/>
        <v>2028</v>
      </c>
      <c r="D10" s="102">
        <v>36617</v>
      </c>
    </row>
    <row r="11" spans="2:4" x14ac:dyDescent="0.3">
      <c r="B11" s="101">
        <f t="shared" si="0"/>
        <v>2029</v>
      </c>
      <c r="D11" s="102">
        <v>36647</v>
      </c>
    </row>
    <row r="12" spans="2:4" x14ac:dyDescent="0.3">
      <c r="B12" s="101">
        <f t="shared" si="0"/>
        <v>2030</v>
      </c>
      <c r="D12" s="102">
        <v>36678</v>
      </c>
    </row>
    <row r="13" spans="2:4" x14ac:dyDescent="0.3">
      <c r="B13" s="101">
        <f t="shared" si="0"/>
        <v>2031</v>
      </c>
      <c r="D13" s="102">
        <v>36708</v>
      </c>
    </row>
    <row r="14" spans="2:4" x14ac:dyDescent="0.3">
      <c r="B14" s="101">
        <f t="shared" si="0"/>
        <v>2032</v>
      </c>
      <c r="D14" s="102">
        <v>36739</v>
      </c>
    </row>
    <row r="15" spans="2:4" x14ac:dyDescent="0.3">
      <c r="B15" s="101">
        <f t="shared" si="0"/>
        <v>2033</v>
      </c>
      <c r="D15" s="102">
        <v>36770</v>
      </c>
    </row>
    <row r="16" spans="2:4" x14ac:dyDescent="0.3">
      <c r="B16" s="101">
        <f t="shared" si="0"/>
        <v>2034</v>
      </c>
      <c r="D16" s="102">
        <v>36800</v>
      </c>
    </row>
    <row r="17" spans="2:4" x14ac:dyDescent="0.3">
      <c r="B17" s="101">
        <f t="shared" si="0"/>
        <v>2035</v>
      </c>
      <c r="D17" s="102">
        <v>36831</v>
      </c>
    </row>
    <row r="18" spans="2:4" x14ac:dyDescent="0.3">
      <c r="B18" s="103">
        <f t="shared" si="0"/>
        <v>2036</v>
      </c>
      <c r="D18" s="104">
        <v>36861</v>
      </c>
    </row>
  </sheetData>
  <sheetProtection sheet="1" formatCells="0" formatColumns="0" formatRows="0" insertColumns="0" insertRows="0" insertHyperlinks="0" deleteColumns="0" deleteRows="0" sort="0" autoFilter="0" pivotTable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vt:i4>
      </vt:variant>
    </vt:vector>
  </HeadingPairs>
  <TitlesOfParts>
    <vt:vector size="48" baseType="lpstr">
      <vt:lpstr>Settings</vt:lpstr>
      <vt:lpstr>Budget Plannning</vt:lpstr>
      <vt:lpstr>Budget Tracking</vt:lpstr>
      <vt:lpstr>Budget Dashboard</vt:lpstr>
      <vt:lpstr>Time Series</vt:lpstr>
      <vt:lpstr>pivot(time Series)</vt:lpstr>
      <vt:lpstr>Resources</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out_budget</vt:lpstr>
      <vt:lpstr>out_percentage_completed</vt:lpstr>
      <vt:lpstr>out_tracked</vt:lpstr>
      <vt:lpstr>'Budget Dashboard'!row_id</vt:lpstr>
      <vt:lpstr>savings_rate_calaculation_type</vt:lpstr>
      <vt:lpstr>selected_period</vt:lpstr>
      <vt:lpstr>selected_period_display</vt:lpstr>
      <vt:lpstr>selected_year</vt:lpstr>
      <vt:lpstr>shift_late_income_starting_date</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The Ben</dc:creator>
  <cp:keywords/>
  <dc:description/>
  <cp:lastModifiedBy>Ben kar</cp:lastModifiedBy>
  <cp:revision/>
  <dcterms:created xsi:type="dcterms:W3CDTF">2024-06-26T21:01:53Z</dcterms:created>
  <dcterms:modified xsi:type="dcterms:W3CDTF">2025-01-09T00:07:52Z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