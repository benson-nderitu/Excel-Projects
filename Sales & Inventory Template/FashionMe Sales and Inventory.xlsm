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:\My Drive\PUBLIC PROJECTS\EXCEL PROJECTS\Sales &amp; Inventory Template\"/>
    </mc:Choice>
  </mc:AlternateContent>
  <xr:revisionPtr revIDLastSave="0" documentId="13_ncr:1_{0ED59D63-A224-40A1-95D6-B62F4B99B838}" xr6:coauthVersionLast="47" xr6:coauthVersionMax="47" xr10:uidLastSave="{00000000-0000-0000-0000-000000000000}"/>
  <bookViews>
    <workbookView xWindow="-108" yWindow="-108" windowWidth="23256" windowHeight="12696" tabRatio="761" activeTab="1" xr2:uid="{54B6C678-B4F8-4CD3-B3EC-BE5A9B79D0D4}"/>
  </bookViews>
  <sheets>
    <sheet name="PriceHistory" sheetId="24" r:id="rId1"/>
    <sheet name="Sales &amp; Inventory" sheetId="10" r:id="rId2"/>
    <sheet name="Dashboard" sheetId="20" r:id="rId3"/>
    <sheet name="Calculations" sheetId="22" state="hidden" r:id="rId4"/>
    <sheet name="Dropdown_Data" sheetId="27" state="hidden" r:id="rId5"/>
  </sheets>
  <functionGroups builtInGroupCount="19"/>
  <definedNames>
    <definedName name="_xleta.PRODUCT" hidden="1" xlm="1">#NAME?</definedName>
    <definedName name="current_date">TODAY()</definedName>
    <definedName name="PeriodOptions">Dropdown_Data!$B$4:$B$17</definedName>
    <definedName name="ProductNames">PriceHistory[Product]</definedName>
    <definedName name="selected_period">Calculations!$D$19</definedName>
    <definedName name="selected_period_display">Calculations!$D$20</definedName>
    <definedName name="selected_year">Calculations!$D$18</definedName>
    <definedName name="starting_year">Calculations!$D$4</definedName>
    <definedName name="YearOptions">OFFSET(Dropdown_Data!$D$4,0,0, COUNTA(Dropdown_Data!$D$4:$D$1000000),1)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0" i="10" l="1"/>
  <c r="M60" i="10" s="1"/>
  <c r="N60" i="10" a="1"/>
  <c r="N60" i="10" s="1"/>
  <c r="O60" i="10" s="1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D13" i="22"/>
  <c r="D8" i="22" l="1" a="1"/>
  <c r="D8" i="22" s="1"/>
  <c r="D4" i="22"/>
  <c r="D5" i="27" s="1" a="1"/>
  <c r="D5" i="27" s="1"/>
  <c r="H55" i="10"/>
  <c r="H56" i="10"/>
  <c r="H57" i="10"/>
  <c r="H58" i="10"/>
  <c r="H59" i="10"/>
  <c r="I55" i="10"/>
  <c r="J55" i="10" a="1"/>
  <c r="J55" i="10" s="1"/>
  <c r="M55" i="10" s="1"/>
  <c r="K55" i="10" a="1"/>
  <c r="K55" i="10" s="1"/>
  <c r="H53" i="10"/>
  <c r="H54" i="10"/>
  <c r="I54" i="10"/>
  <c r="J54" i="10" a="1"/>
  <c r="J54" i="10" s="1"/>
  <c r="M54" i="10" s="1"/>
  <c r="K54" i="10" a="1"/>
  <c r="K54" i="10" s="1"/>
  <c r="I53" i="10"/>
  <c r="J53" i="10" a="1"/>
  <c r="J53" i="10" s="1"/>
  <c r="M53" i="10" s="1"/>
  <c r="K53" i="10" a="1"/>
  <c r="K53" i="10" s="1"/>
  <c r="D19" i="22" a="1"/>
  <c r="D19" i="22" s="1"/>
  <c r="D22" i="22" s="1" a="1"/>
  <c r="D22" i="22" s="1"/>
  <c r="D18" i="22"/>
  <c r="D21" i="22" l="1"/>
  <c r="D12" i="22" a="1"/>
  <c r="D12" i="22" s="1"/>
  <c r="D23" i="22" l="1"/>
  <c r="I58" i="10"/>
  <c r="J58" i="10" a="1"/>
  <c r="J58" i="10" s="1"/>
  <c r="M58" i="10" s="1"/>
  <c r="K58" i="10" a="1"/>
  <c r="K58" i="10" s="1"/>
  <c r="I57" i="10"/>
  <c r="J57" i="10" a="1"/>
  <c r="J57" i="10" s="1"/>
  <c r="M57" i="10" s="1"/>
  <c r="K57" i="10" a="1"/>
  <c r="K57" i="10" s="1"/>
  <c r="I59" i="10"/>
  <c r="J59" i="10" a="1"/>
  <c r="J59" i="10" s="1"/>
  <c r="M59" i="10" s="1"/>
  <c r="K59" i="10" a="1"/>
  <c r="K59" i="10" s="1"/>
  <c r="I56" i="10"/>
  <c r="J56" i="10" a="1"/>
  <c r="J56" i="10" s="1"/>
  <c r="M56" i="10" s="1"/>
  <c r="K56" i="10" a="1"/>
  <c r="K56" i="10" s="1"/>
  <c r="H52" i="10" l="1"/>
  <c r="I52" i="10"/>
  <c r="J52" i="10" a="1"/>
  <c r="J52" i="10" s="1"/>
  <c r="M52" i="10" s="1"/>
  <c r="K52" i="10" a="1"/>
  <c r="K52" i="10" s="1"/>
  <c r="H51" i="10"/>
  <c r="I51" i="10"/>
  <c r="J51" i="10" a="1"/>
  <c r="J51" i="10" s="1"/>
  <c r="M51" i="10" s="1"/>
  <c r="K51" i="10" a="1"/>
  <c r="K51" i="10" s="1"/>
  <c r="H49" i="10"/>
  <c r="I49" i="10"/>
  <c r="J49" i="10" a="1"/>
  <c r="J49" i="10" s="1"/>
  <c r="M49" i="10" s="1"/>
  <c r="K49" i="10" a="1"/>
  <c r="K49" i="10" s="1"/>
  <c r="H48" i="10"/>
  <c r="I48" i="10"/>
  <c r="J48" i="10" a="1"/>
  <c r="J48" i="10" s="1"/>
  <c r="M48" i="10" s="1"/>
  <c r="K48" i="10" a="1"/>
  <c r="K48" i="10" s="1"/>
  <c r="H47" i="10"/>
  <c r="I47" i="10"/>
  <c r="J47" i="10" a="1"/>
  <c r="J47" i="10" s="1"/>
  <c r="M47" i="10" s="1"/>
  <c r="K47" i="10" a="1"/>
  <c r="K47" i="10" s="1"/>
  <c r="H50" i="10"/>
  <c r="I50" i="10"/>
  <c r="J50" i="10" a="1"/>
  <c r="J50" i="10" s="1"/>
  <c r="M50" i="10" s="1"/>
  <c r="K50" i="10" a="1"/>
  <c r="K50" i="10" s="1"/>
  <c r="H46" i="10"/>
  <c r="I46" i="10"/>
  <c r="J46" i="10" a="1"/>
  <c r="J46" i="10" s="1"/>
  <c r="M46" i="10" s="1"/>
  <c r="K46" i="10" a="1"/>
  <c r="K46" i="10" s="1"/>
  <c r="H45" i="10"/>
  <c r="I45" i="10"/>
  <c r="J45" i="10" a="1"/>
  <c r="J45" i="10" s="1"/>
  <c r="M45" i="10" s="1"/>
  <c r="K45" i="10" a="1"/>
  <c r="K45" i="10" s="1"/>
  <c r="H44" i="10"/>
  <c r="I44" i="10"/>
  <c r="J44" i="10" a="1"/>
  <c r="J44" i="10" s="1"/>
  <c r="M44" i="10" s="1"/>
  <c r="K44" i="10" a="1"/>
  <c r="K44" i="10" s="1"/>
  <c r="H43" i="10"/>
  <c r="I43" i="10"/>
  <c r="J43" i="10" a="1"/>
  <c r="J43" i="10" s="1"/>
  <c r="M43" i="10" s="1"/>
  <c r="K43" i="10" a="1"/>
  <c r="K43" i="10" s="1"/>
  <c r="H42" i="10"/>
  <c r="I42" i="10"/>
  <c r="J42" i="10" a="1"/>
  <c r="J42" i="10" s="1"/>
  <c r="M42" i="10" s="1"/>
  <c r="K42" i="10" a="1"/>
  <c r="K42" i="10" s="1"/>
  <c r="H31" i="10"/>
  <c r="I31" i="10"/>
  <c r="J31" i="10" a="1"/>
  <c r="J31" i="10" s="1"/>
  <c r="M31" i="10" s="1"/>
  <c r="K31" i="10" a="1"/>
  <c r="K31" i="10" s="1"/>
  <c r="H30" i="10"/>
  <c r="I30" i="10"/>
  <c r="J30" i="10" a="1"/>
  <c r="J30" i="10" s="1"/>
  <c r="M30" i="10" s="1"/>
  <c r="K30" i="10" a="1"/>
  <c r="K30" i="10" s="1"/>
  <c r="H41" i="10"/>
  <c r="I41" i="10"/>
  <c r="J41" i="10" a="1"/>
  <c r="J41" i="10" s="1"/>
  <c r="M41" i="10" s="1"/>
  <c r="K41" i="10" a="1"/>
  <c r="K41" i="10" s="1"/>
  <c r="H40" i="10"/>
  <c r="I40" i="10"/>
  <c r="J40" i="10" a="1"/>
  <c r="J40" i="10" s="1"/>
  <c r="M40" i="10" s="1"/>
  <c r="K40" i="10" a="1"/>
  <c r="K40" i="10" s="1"/>
  <c r="H39" i="10"/>
  <c r="I39" i="10"/>
  <c r="J39" i="10" a="1"/>
  <c r="J39" i="10" s="1"/>
  <c r="M39" i="10" s="1"/>
  <c r="K39" i="10" a="1"/>
  <c r="K39" i="10" s="1"/>
  <c r="H38" i="10"/>
  <c r="I38" i="10"/>
  <c r="J38" i="10" a="1"/>
  <c r="J38" i="10" s="1"/>
  <c r="M38" i="10" s="1"/>
  <c r="K38" i="10" a="1"/>
  <c r="K38" i="10" s="1"/>
  <c r="H37" i="10"/>
  <c r="I37" i="10"/>
  <c r="J37" i="10" a="1"/>
  <c r="J37" i="10" s="1"/>
  <c r="M37" i="10" s="1"/>
  <c r="K37" i="10" a="1"/>
  <c r="K37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J10" i="10" a="1"/>
  <c r="J10" i="10" s="1"/>
  <c r="J11" i="10" a="1"/>
  <c r="J11" i="10" s="1"/>
  <c r="M11" i="10" s="1"/>
  <c r="J12" i="10" a="1"/>
  <c r="J12" i="10" s="1"/>
  <c r="M12" i="10" s="1"/>
  <c r="J13" i="10" a="1"/>
  <c r="J13" i="10" s="1"/>
  <c r="M13" i="10" s="1"/>
  <c r="J14" i="10" a="1"/>
  <c r="J14" i="10" s="1"/>
  <c r="M14" i="10" s="1"/>
  <c r="J15" i="10" a="1"/>
  <c r="J15" i="10" s="1"/>
  <c r="M15" i="10" s="1"/>
  <c r="J16" i="10" a="1"/>
  <c r="J16" i="10" s="1"/>
  <c r="M16" i="10" s="1"/>
  <c r="J17" i="10" a="1"/>
  <c r="J17" i="10" s="1"/>
  <c r="M17" i="10" s="1"/>
  <c r="J18" i="10" a="1"/>
  <c r="J18" i="10" s="1"/>
  <c r="M18" i="10" s="1"/>
  <c r="J19" i="10" a="1"/>
  <c r="J19" i="10" s="1"/>
  <c r="M19" i="10" s="1"/>
  <c r="J20" i="10" a="1"/>
  <c r="J20" i="10" s="1"/>
  <c r="M20" i="10" s="1"/>
  <c r="J21" i="10" a="1"/>
  <c r="J21" i="10" s="1"/>
  <c r="M21" i="10" s="1"/>
  <c r="J22" i="10" a="1"/>
  <c r="J22" i="10" s="1"/>
  <c r="M22" i="10" s="1"/>
  <c r="J23" i="10" a="1"/>
  <c r="J23" i="10" s="1"/>
  <c r="M23" i="10" s="1"/>
  <c r="J24" i="10" a="1"/>
  <c r="J24" i="10" s="1"/>
  <c r="M24" i="10" s="1"/>
  <c r="J25" i="10" a="1"/>
  <c r="J25" i="10" s="1"/>
  <c r="M25" i="10" s="1"/>
  <c r="J26" i="10" a="1"/>
  <c r="J26" i="10" s="1"/>
  <c r="M26" i="10" s="1"/>
  <c r="J27" i="10" a="1"/>
  <c r="J27" i="10" s="1"/>
  <c r="M27" i="10" s="1"/>
  <c r="J28" i="10" a="1"/>
  <c r="J28" i="10" s="1"/>
  <c r="M28" i="10" s="1"/>
  <c r="J29" i="10" a="1"/>
  <c r="J29" i="10" s="1"/>
  <c r="M29" i="10" s="1"/>
  <c r="J32" i="10" a="1"/>
  <c r="J32" i="10" s="1"/>
  <c r="M32" i="10" s="1"/>
  <c r="J33" i="10" a="1"/>
  <c r="J33" i="10" s="1"/>
  <c r="M33" i="10" s="1"/>
  <c r="J34" i="10" a="1"/>
  <c r="J34" i="10" s="1"/>
  <c r="M34" i="10" s="1"/>
  <c r="J35" i="10" a="1"/>
  <c r="J35" i="10" s="1"/>
  <c r="M35" i="10" s="1"/>
  <c r="J36" i="10" a="1"/>
  <c r="J36" i="10" s="1"/>
  <c r="M36" i="10" s="1"/>
  <c r="B12" i="20" a="1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2" i="10"/>
  <c r="H33" i="10"/>
  <c r="H34" i="10"/>
  <c r="H35" i="10"/>
  <c r="H36" i="10"/>
  <c r="E13" i="20" l="1" a="1"/>
  <c r="E13" i="20" s="1"/>
  <c r="D14" i="20" a="1"/>
  <c r="D14" i="20" s="1"/>
  <c r="C13" i="20" a="1"/>
  <c r="C13" i="20" s="1"/>
  <c r="E14" i="20" a="1"/>
  <c r="E14" i="20" s="1"/>
  <c r="D15" i="20" a="1"/>
  <c r="D15" i="20" s="1"/>
  <c r="E15" i="20" a="1"/>
  <c r="E15" i="20" s="1"/>
  <c r="D13" i="20" a="1"/>
  <c r="D13" i="20" s="1"/>
  <c r="C14" i="20" a="1"/>
  <c r="C14" i="20" s="1"/>
  <c r="C15" i="20" a="1"/>
  <c r="C15" i="20" s="1"/>
  <c r="M10" i="10"/>
  <c r="B12" i="20"/>
  <c r="F13" i="20" l="1"/>
  <c r="F15" i="20"/>
  <c r="E12" i="20" a="1"/>
  <c r="E12" i="20" s="1"/>
  <c r="I15" i="20" s="1"/>
  <c r="C12" i="20" a="1"/>
  <c r="C12" i="20" s="1"/>
  <c r="G12" i="20" s="1"/>
  <c r="D12" i="20" a="1"/>
  <c r="D12" i="20" s="1"/>
  <c r="H12" i="20" s="1"/>
  <c r="F14" i="20"/>
  <c r="G13" i="20" l="1"/>
  <c r="G15" i="20"/>
  <c r="I12" i="20"/>
  <c r="J12" i="20" s="1"/>
  <c r="F12" i="20"/>
  <c r="I13" i="20"/>
  <c r="H14" i="20"/>
  <c r="I14" i="20"/>
  <c r="H15" i="20"/>
  <c r="H13" i="20"/>
  <c r="G14" i="20"/>
  <c r="I36" i="10"/>
  <c r="I35" i="10"/>
  <c r="I34" i="10"/>
  <c r="I33" i="10"/>
  <c r="I32" i="10"/>
  <c r="I24" i="10"/>
  <c r="I29" i="10"/>
  <c r="I23" i="10"/>
  <c r="I25" i="10"/>
  <c r="I26" i="10"/>
  <c r="I27" i="10"/>
  <c r="I28" i="10"/>
  <c r="I22" i="10"/>
  <c r="I21" i="10"/>
  <c r="I20" i="10"/>
  <c r="N20" i="10" s="1" a="1"/>
  <c r="N20" i="10" s="1"/>
  <c r="O20" i="10" s="1"/>
  <c r="I19" i="10"/>
  <c r="N19" i="10" s="1" a="1"/>
  <c r="N19" i="10" s="1"/>
  <c r="O19" i="10" s="1"/>
  <c r="I18" i="10"/>
  <c r="I17" i="10"/>
  <c r="I16" i="10"/>
  <c r="H15" i="10"/>
  <c r="I15" i="10"/>
  <c r="I10" i="10"/>
  <c r="I11" i="10"/>
  <c r="I12" i="10"/>
  <c r="I13" i="10"/>
  <c r="I14" i="10"/>
  <c r="J15" i="20" l="1"/>
  <c r="J14" i="20"/>
  <c r="J13" i="20"/>
  <c r="N21" i="10" a="1"/>
  <c r="N21" i="10" s="1"/>
  <c r="O21" i="10" s="1"/>
  <c r="N10" i="10" a="1"/>
  <c r="N10" i="10" s="1"/>
  <c r="O10" i="10" s="1"/>
  <c r="D11" i="22"/>
  <c r="H10" i="10"/>
  <c r="D9" i="22"/>
  <c r="N28" i="10" l="1" a="1"/>
  <c r="N28" i="10" s="1"/>
  <c r="O28" i="10" s="1"/>
  <c r="K13" i="20"/>
  <c r="K12" i="20"/>
  <c r="K14" i="20"/>
  <c r="K15" i="20"/>
  <c r="D10" i="22"/>
  <c r="N22" i="10" a="1"/>
  <c r="N22" i="10" s="1"/>
  <c r="O22" i="10" s="1"/>
  <c r="D20" i="22"/>
  <c r="N10" i="20" l="1"/>
  <c r="V10" i="20"/>
  <c r="L12" i="20"/>
  <c r="L15" i="20"/>
  <c r="L14" i="20"/>
  <c r="L13" i="20"/>
  <c r="N25" i="10" a="1"/>
  <c r="N25" i="10" s="1"/>
  <c r="O25" i="10" s="1"/>
  <c r="N24" i="10" a="1"/>
  <c r="N24" i="10" s="1"/>
  <c r="O24" i="10" s="1"/>
  <c r="N29" i="10" a="1"/>
  <c r="N29" i="10" s="1"/>
  <c r="O29" i="10" s="1"/>
  <c r="H11" i="10"/>
  <c r="H12" i="10"/>
  <c r="H13" i="10"/>
  <c r="H14" i="10"/>
  <c r="N11" i="10" a="1"/>
  <c r="N11" i="10" s="1"/>
  <c r="O11" i="10" s="1"/>
  <c r="N30" i="10" l="1" a="1"/>
  <c r="N30" i="10" s="1"/>
  <c r="O30" i="10" s="1"/>
  <c r="N12" i="20"/>
  <c r="N13" i="20"/>
  <c r="N14" i="20"/>
  <c r="N15" i="20"/>
  <c r="N35" i="10" a="1"/>
  <c r="N35" i="10" s="1"/>
  <c r="O35" i="10" s="1"/>
  <c r="N26" i="10" a="1"/>
  <c r="N26" i="10" s="1"/>
  <c r="O26" i="10" s="1"/>
  <c r="N37" i="10" l="1" a="1"/>
  <c r="N37" i="10" s="1"/>
  <c r="O37" i="10" s="1"/>
  <c r="Q13" i="20" a="1"/>
  <c r="Q13" i="20" s="1"/>
  <c r="R13" i="20" a="1"/>
  <c r="R13" i="20" s="1"/>
  <c r="Q15" i="20" a="1"/>
  <c r="Q15" i="20" s="1"/>
  <c r="R15" i="20" a="1"/>
  <c r="R15" i="20" s="1"/>
  <c r="Q14" i="20" a="1"/>
  <c r="Q14" i="20" s="1"/>
  <c r="R14" i="20" a="1"/>
  <c r="R14" i="20" s="1"/>
  <c r="Q12" i="20" a="1"/>
  <c r="Q12" i="20" s="1"/>
  <c r="R12" i="20" a="1"/>
  <c r="R12" i="20" s="1"/>
  <c r="P12" i="20" a="1"/>
  <c r="P12" i="20" s="1"/>
  <c r="O14" i="20" a="1"/>
  <c r="O14" i="20" s="1"/>
  <c r="P14" i="20" a="1"/>
  <c r="P14" i="20" s="1"/>
  <c r="O15" i="20" a="1"/>
  <c r="O15" i="20" s="1"/>
  <c r="P15" i="20" a="1"/>
  <c r="P15" i="20" s="1"/>
  <c r="O13" i="20" a="1"/>
  <c r="O13" i="20" s="1"/>
  <c r="P13" i="20" a="1"/>
  <c r="P13" i="20" s="1"/>
  <c r="O12" i="20" a="1"/>
  <c r="O12" i="20" s="1"/>
  <c r="M12" i="20"/>
  <c r="M14" i="20"/>
  <c r="M13" i="20"/>
  <c r="M15" i="20"/>
  <c r="T15" i="20" s="1" a="1"/>
  <c r="T15" i="20" s="1"/>
  <c r="N27" i="10" a="1"/>
  <c r="N27" i="10" s="1"/>
  <c r="O27" i="10" s="1"/>
  <c r="N31" i="10" l="1" a="1"/>
  <c r="N31" i="10" s="1"/>
  <c r="O31" i="10" s="1"/>
  <c r="N38" i="10" a="1"/>
  <c r="N38" i="10" s="1"/>
  <c r="O38" i="10" s="1"/>
  <c r="N39" i="10" l="1" a="1"/>
  <c r="N39" i="10" s="1"/>
  <c r="N43" i="10" l="1" a="1"/>
  <c r="N43" i="10" s="1"/>
  <c r="O39" i="10"/>
  <c r="N49" i="10" l="1" a="1"/>
  <c r="N49" i="10" s="1"/>
  <c r="O43" i="10"/>
  <c r="N51" i="10" l="1" a="1"/>
  <c r="N51" i="10" s="1"/>
  <c r="O51" i="10" s="1"/>
  <c r="N54" i="10" s="1" a="1"/>
  <c r="N54" i="10" s="1"/>
  <c r="O54" i="10" s="1"/>
  <c r="O49" i="10"/>
  <c r="N57" i="10" l="1" a="1"/>
  <c r="N57" i="10" s="1"/>
  <c r="O57" i="10" s="1"/>
  <c r="T14" i="20" l="1" a="1"/>
  <c r="T14" i="20" s="1"/>
  <c r="N12" i="10" l="1" a="1"/>
  <c r="N12" i="10" s="1"/>
  <c r="O12" i="10" s="1"/>
  <c r="N13" i="10" l="1" a="1"/>
  <c r="N13" i="10" s="1"/>
  <c r="O13" i="10" s="1"/>
  <c r="N14" i="10" l="1" a="1"/>
  <c r="N14" i="10" s="1"/>
  <c r="N15" i="10" l="1" a="1"/>
  <c r="N15" i="10" s="1"/>
  <c r="O15" i="10" s="1"/>
  <c r="N16" i="10" s="1" a="1"/>
  <c r="N16" i="10" s="1"/>
  <c r="O16" i="10" s="1"/>
  <c r="O14" i="10"/>
  <c r="N17" i="10" l="1" a="1"/>
  <c r="N17" i="10" s="1"/>
  <c r="O17" i="10" s="1"/>
  <c r="N32" i="10" a="1"/>
  <c r="N32" i="10" s="1"/>
  <c r="O32" i="10" s="1"/>
  <c r="N36" i="10" l="1" a="1"/>
  <c r="N36" i="10" s="1"/>
  <c r="O36" i="10" s="1"/>
  <c r="N18" i="10" a="1"/>
  <c r="N18" i="10" s="1"/>
  <c r="O18" i="10" s="1"/>
  <c r="N23" i="10" l="1" a="1"/>
  <c r="N23" i="10" s="1"/>
  <c r="O23" i="10" s="1"/>
  <c r="N41" i="10" a="1"/>
  <c r="N41" i="10" s="1"/>
  <c r="O41" i="10" s="1"/>
  <c r="N42" i="10" l="1" a="1"/>
  <c r="N42" i="10" s="1"/>
  <c r="O42" i="10" s="1"/>
  <c r="N33" i="10" a="1"/>
  <c r="N33" i="10" s="1"/>
  <c r="O33" i="10" s="1"/>
  <c r="N45" i="10" l="1" a="1"/>
  <c r="N45" i="10" s="1"/>
  <c r="O45" i="10" s="1"/>
  <c r="N34" i="10" a="1"/>
  <c r="N34" i="10" s="1"/>
  <c r="O34" i="10" s="1"/>
  <c r="N40" i="10" l="1" a="1"/>
  <c r="N40" i="10" s="1"/>
  <c r="O40" i="10" s="1"/>
  <c r="N48" i="10" a="1"/>
  <c r="N48" i="10" s="1"/>
  <c r="O48" i="10" s="1"/>
  <c r="N52" i="10" l="1" a="1"/>
  <c r="N52" i="10" s="1"/>
  <c r="O52" i="10" s="1"/>
  <c r="N44" i="10" a="1"/>
  <c r="N44" i="10" s="1"/>
  <c r="O44" i="10" s="1"/>
  <c r="N46" i="10" l="1" a="1"/>
  <c r="N46" i="10" s="1"/>
  <c r="O46" i="10" s="1"/>
  <c r="N47" i="10" l="1" a="1"/>
  <c r="N47" i="10" s="1"/>
  <c r="N53" i="10" a="1"/>
  <c r="N53" i="10" s="1"/>
  <c r="O53" i="10" s="1"/>
  <c r="N50" i="10" l="1" a="1"/>
  <c r="N50" i="10" s="1"/>
  <c r="O47" i="10"/>
  <c r="N55" i="10" a="1"/>
  <c r="N55" i="10" s="1"/>
  <c r="O55" i="10" s="1"/>
  <c r="N56" i="10" l="1" a="1"/>
  <c r="N56" i="10" s="1"/>
  <c r="O50" i="10"/>
  <c r="N59" i="10" a="1"/>
  <c r="N59" i="10" s="1"/>
  <c r="O59" i="10" s="1"/>
  <c r="N58" i="10" l="1" a="1"/>
  <c r="N58" i="10" s="1"/>
  <c r="O58" i="10" s="1"/>
  <c r="T12" i="20" s="1" a="1"/>
  <c r="T12" i="20" s="1"/>
  <c r="O56" i="10"/>
  <c r="T13" i="20" a="1"/>
  <c r="T13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84E914-E8A6-44C3-AE4B-069AF0D775BB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0195FF59-F221-48D8-AA7E-E70695464753}" keepAlive="1" name="Query - Table15" description="Connection to the 'Table15' query in the workbook." type="5" refreshedVersion="0" background="1">
    <dbPr connection="Provider=Microsoft.Mashup.OleDb.1;Data Source=$Workbook$;Location=Table15;Extended Properties=&quot;&quot;" command="SELECT * FROM [Table15]"/>
  </connection>
  <connection id="3" xr16:uid="{D94E94C2-14A0-41C6-B32B-B43F2359EFCA}" keepAlive="1" name="Query - Table2" description="Connection to the 'Table2' query in the workbook." type="5" refreshedVersion="0" background="1">
    <dbPr connection="Provider=Microsoft.Mashup.OleDb.1;Data Source=$Workbook$;Location=Table2;Extended Properties=&quot;&quot;" command="SELECT * FROM [Table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<sst xmlns="http://schemas.openxmlformats.org/spreadsheetml/2006/main" count="127" uniqueCount="65">
  <si>
    <t>Date</t>
  </si>
  <si>
    <t>Buying Price</t>
  </si>
  <si>
    <t>Profit</t>
  </si>
  <si>
    <t>Stock In</t>
  </si>
  <si>
    <t xml:space="preserve">Closing Stock </t>
  </si>
  <si>
    <t>Transport</t>
  </si>
  <si>
    <t>Product</t>
  </si>
  <si>
    <t>Qty_sold</t>
  </si>
  <si>
    <t>Sales &amp; Inventory</t>
  </si>
  <si>
    <t>Opening stock</t>
  </si>
  <si>
    <t>SalesAmount</t>
  </si>
  <si>
    <t>Ocurrence</t>
  </si>
  <si>
    <t>count</t>
  </si>
  <si>
    <t>SalesAMT</t>
  </si>
  <si>
    <t>Dashboard</t>
  </si>
  <si>
    <t>Today</t>
  </si>
  <si>
    <t>Last Record</t>
  </si>
  <si>
    <t>Number of Days</t>
  </si>
  <si>
    <t>Number of Records</t>
  </si>
  <si>
    <t>Current year's Number of Records</t>
  </si>
  <si>
    <t>Selected Year</t>
  </si>
  <si>
    <t>Selected Period</t>
  </si>
  <si>
    <t xml:space="preserve">Selected Period Display: </t>
  </si>
  <si>
    <t>Calculations</t>
  </si>
  <si>
    <t>Period Dropdown</t>
  </si>
  <si>
    <t>Current Month</t>
  </si>
  <si>
    <t>Worksheet: Sales &amp; Inventory</t>
  </si>
  <si>
    <t>Worksheet: Dashboard</t>
  </si>
  <si>
    <t>Details</t>
  </si>
  <si>
    <t>Products</t>
  </si>
  <si>
    <t>Max Occurrence</t>
  </si>
  <si>
    <t>Current closing Stock</t>
  </si>
  <si>
    <t>Start Date</t>
  </si>
  <si>
    <t>End Date</t>
  </si>
  <si>
    <t>Selling Price</t>
  </si>
  <si>
    <t>Total Cost</t>
  </si>
  <si>
    <t>crrntSP</t>
  </si>
  <si>
    <t>crrntBP</t>
  </si>
  <si>
    <t>Year</t>
  </si>
  <si>
    <t>Current Year</t>
  </si>
  <si>
    <t>Period</t>
  </si>
  <si>
    <t>Catalogue &amp; Price History</t>
  </si>
  <si>
    <t>Year Dropdown</t>
  </si>
  <si>
    <t>Days in Period:</t>
  </si>
  <si>
    <t>Days Passed in Period:</t>
  </si>
  <si>
    <t>Days Passed in Period %:</t>
  </si>
  <si>
    <t>starting Year</t>
  </si>
  <si>
    <t>Dropdown Data</t>
  </si>
  <si>
    <t>Total Year</t>
  </si>
  <si>
    <t>Time Calculations</t>
  </si>
  <si>
    <t>Sales(Units)</t>
  </si>
  <si>
    <t>Total_Cost</t>
  </si>
  <si>
    <t>Revenue</t>
  </si>
  <si>
    <t>sales_rank</t>
  </si>
  <si>
    <t>cost_rank</t>
  </si>
  <si>
    <t>rev_rank</t>
  </si>
  <si>
    <t>comb_rank</t>
  </si>
  <si>
    <t>comb_rank_norm</t>
  </si>
  <si>
    <t>comb_rank_norm_unique</t>
  </si>
  <si>
    <t>Units Sold</t>
  </si>
  <si>
    <t>Lifetime Units Sold</t>
  </si>
  <si>
    <t>Item1</t>
  </si>
  <si>
    <t>Item2</t>
  </si>
  <si>
    <t>Item3</t>
  </si>
  <si>
    <t>Item4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</si>
</sst>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1" formatCode="_-* #,##0_-;\-* #,##0_-;_-* &quot;-&quot;_-;_-@_-"/>
    <numFmt numFmtId="43" formatCode="_-* #,##0.00_-;\-* #,##0.00_-;_-* &quot;-&quot;??_-;_-@_-"/>
    <numFmt numFmtId="164" formatCode="d\ \-\ mmm\ \-\ yy"/>
    <numFmt numFmtId="165" formatCode="d\-mmm\-yy"/>
    <numFmt numFmtId="166" formatCode="_-* #,##0_-;\-* #,##0_-;_-* &quot;-&quot;??_-;_-@_-"/>
    <numFmt numFmtId="167" formatCode="mmmm"/>
  </numFmts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0"/>
      <color theme="0"/>
      <name val="Arial Nova Light"/>
      <family val="2"/>
    </font>
    <font>
      <sz val="11"/>
      <color theme="1"/>
      <name val="Arial Nova Light"/>
      <family val="2"/>
    </font>
    <font>
      <b/>
      <sz val="11"/>
      <color theme="1"/>
      <name val="Arial Nova Light"/>
      <family val="2"/>
    </font>
    <font>
      <b/>
      <sz val="18"/>
      <color theme="0"/>
      <name val="Arial Nova Light"/>
      <family val="2"/>
    </font>
    <font>
      <b/>
      <sz val="11"/>
      <color theme="0"/>
      <name val="Arial Nova Light"/>
      <family val="2"/>
    </font>
    <font>
      <b/>
      <sz val="12"/>
      <color rgb="FFBF24C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206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0"/>
      <color theme="1"/>
      <name val="Avenir Next LT Pro Demi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E5E8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D2DF"/>
        <bgColor indexed="64"/>
      </patternFill>
    </fill>
  </fills>
  <borders count="7">
    <border>
      <left/>
      <right/>
      <top/>
      <bottom/>
      <diagonal/>
    </border>
    <border>
      <left/>
      <right/>
      <top style="medium">
        <color rgb="FF002060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left"/>
    </xf>
    <xf numFmtId="0" fontId="0" fillId="2" borderId="0" xfId="0" applyFill="1"/>
    <xf numFmtId="41" fontId="0" fillId="2" borderId="0" xfId="0" applyNumberFormat="1" applyFill="1"/>
    <xf numFmtId="164" fontId="0" fillId="0" borderId="0" xfId="0" applyNumberFormat="1" applyAlignment="1">
      <alignment horizontal="left" vertical="center"/>
    </xf>
    <xf numFmtId="41" fontId="0" fillId="0" borderId="0" xfId="0" applyNumberFormat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0" xfId="0" applyFont="1"/>
    <xf numFmtId="0" fontId="8" fillId="0" borderId="0" xfId="0" applyFont="1" applyAlignment="1">
      <alignment horizontal="left" vertical="center"/>
    </xf>
    <xf numFmtId="165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/>
    </xf>
    <xf numFmtId="166" fontId="7" fillId="0" borderId="0" xfId="1" applyNumberFormat="1" applyFont="1" applyAlignment="1">
      <alignment horizontal="center" vertical="center"/>
    </xf>
    <xf numFmtId="0" fontId="8" fillId="0" borderId="2" xfId="0" applyFont="1" applyBorder="1"/>
    <xf numFmtId="0" fontId="7" fillId="0" borderId="2" xfId="0" applyFont="1" applyBorder="1" applyAlignment="1">
      <alignment horizontal="center"/>
    </xf>
    <xf numFmtId="0" fontId="7" fillId="2" borderId="0" xfId="0" applyFont="1" applyFill="1"/>
    <xf numFmtId="0" fontId="10" fillId="2" borderId="0" xfId="0" applyFont="1" applyFill="1" applyAlignment="1">
      <alignment horizontal="center" vertical="center"/>
    </xf>
    <xf numFmtId="41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5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41" fontId="14" fillId="0" borderId="0" xfId="0" applyNumberFormat="1" applyFont="1"/>
    <xf numFmtId="41" fontId="15" fillId="0" borderId="0" xfId="0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6" fillId="3" borderId="0" xfId="0" applyFont="1" applyFill="1" applyAlignment="1">
      <alignment horizontal="left" vertical="center" indent="1"/>
    </xf>
    <xf numFmtId="0" fontId="16" fillId="3" borderId="0" xfId="0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top"/>
    </xf>
    <xf numFmtId="41" fontId="0" fillId="0" borderId="0" xfId="0" applyNumberFormat="1" applyAlignment="1">
      <alignment horizontal="left" vertical="top"/>
    </xf>
    <xf numFmtId="41" fontId="0" fillId="0" borderId="0" xfId="0" applyNumberFormat="1" applyAlignment="1">
      <alignment horizontal="center" vertical="top"/>
    </xf>
    <xf numFmtId="0" fontId="0" fillId="0" borderId="0" xfId="0" applyAlignment="1">
      <alignment vertical="top"/>
    </xf>
    <xf numFmtId="41" fontId="13" fillId="0" borderId="0" xfId="0" applyNumberFormat="1" applyFont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left" vertical="top" indent="1"/>
    </xf>
    <xf numFmtId="14" fontId="11" fillId="5" borderId="3" xfId="0" applyNumberFormat="1" applyFont="1" applyFill="1" applyBorder="1" applyAlignment="1">
      <alignment horizontal="left" vertical="center"/>
    </xf>
    <xf numFmtId="0" fontId="11" fillId="5" borderId="3" xfId="0" applyFont="1" applyFill="1" applyBorder="1" applyAlignment="1">
      <alignment horizontal="left" vertical="center" indent="1"/>
    </xf>
    <xf numFmtId="41" fontId="11" fillId="5" borderId="3" xfId="0" applyNumberFormat="1" applyFont="1" applyFill="1" applyBorder="1" applyAlignment="1">
      <alignment horizontal="left" vertical="center" indent="1"/>
    </xf>
    <xf numFmtId="41" fontId="0" fillId="0" borderId="0" xfId="0" applyNumberFormat="1" applyAlignment="1">
      <alignment horizontal="left" vertical="center" indent="1"/>
    </xf>
    <xf numFmtId="41" fontId="13" fillId="0" borderId="0" xfId="0" applyNumberFormat="1" applyFont="1" applyAlignment="1">
      <alignment horizontal="left" vertical="center" wrapText="1" indent="1"/>
    </xf>
    <xf numFmtId="41" fontId="0" fillId="0" borderId="0" xfId="0" applyNumberFormat="1" applyAlignment="1">
      <alignment horizontal="left" vertical="center"/>
    </xf>
    <xf numFmtId="41" fontId="3" fillId="0" borderId="1" xfId="0" applyNumberFormat="1" applyFont="1" applyBorder="1" applyAlignment="1">
      <alignment horizontal="left" vertical="center"/>
    </xf>
    <xf numFmtId="0" fontId="0" fillId="0" borderId="0" xfId="0" quotePrefix="1"/>
    <xf numFmtId="1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3" fillId="2" borderId="4" xfId="0" applyFont="1" applyFill="1" applyBorder="1" applyAlignment="1">
      <alignment horizontal="center" vertical="center"/>
    </xf>
    <xf numFmtId="0" fontId="18" fillId="5" borderId="4" xfId="0" applyFont="1" applyFill="1" applyBorder="1" applyAlignment="1">
      <alignment horizontal="left" vertical="center" indent="1"/>
    </xf>
    <xf numFmtId="0" fontId="19" fillId="0" borderId="5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9" fontId="7" fillId="0" borderId="0" xfId="2" applyFont="1" applyAlignment="1">
      <alignment horizontal="center" vertical="center"/>
    </xf>
    <xf numFmtId="0" fontId="19" fillId="0" borderId="6" xfId="0" applyFont="1" applyBorder="1" applyAlignment="1">
      <alignment horizontal="center"/>
    </xf>
    <xf numFmtId="167" fontId="19" fillId="0" borderId="5" xfId="0" applyNumberFormat="1" applyFont="1" applyBorder="1" applyAlignment="1">
      <alignment horizontal="center"/>
    </xf>
    <xf numFmtId="167" fontId="18" fillId="5" borderId="4" xfId="0" applyNumberFormat="1" applyFont="1" applyFill="1" applyBorder="1" applyAlignment="1">
      <alignment horizontal="left" vertical="center" indent="1"/>
    </xf>
    <xf numFmtId="0" fontId="5" fillId="2" borderId="0" xfId="0" applyFont="1" applyFill="1" applyAlignment="1">
      <alignment horizontal="left" vertical="center"/>
    </xf>
    <xf numFmtId="41" fontId="13" fillId="0" borderId="0" xfId="0" applyNumberFormat="1" applyFont="1" applyAlignment="1">
      <alignment horizontal="left" vertical="center" wrapText="1"/>
    </xf>
    <xf numFmtId="0" fontId="17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left" vertical="center" indent="1"/>
    </xf>
    <xf numFmtId="0" fontId="7" fillId="2" borderId="0" xfId="0" applyFont="1" applyFill="1" applyAlignment="1">
      <alignment horizontal="left" vertical="center" indent="1"/>
    </xf>
    <xf numFmtId="0" fontId="9" fillId="2" borderId="0" xfId="0" applyFont="1" applyFill="1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0" fontId="0" fillId="0" borderId="0" xfId="0" applyNumberFormat="1" applyFill="1"/>
    <xf numFmtId="41" fontId="0" fillId="0" borderId="0" xfId="0" applyNumberFormat="1" applyFill="1"/>
    <xf numFmtId="1" fontId="0" fillId="0" borderId="0" xfId="0" applyNumberFormat="1" applyFill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5">
    <dxf>
      <numFmt numFmtId="33" formatCode="_-* #,##0_-;\-* #,##0_-;_-* &quot;-&quot;_-;_-@_-"/>
      <fill>
        <patternFill patternType="none">
          <fgColor indexed="64"/>
          <bgColor auto="1"/>
        </patternFill>
      </fill>
    </dxf>
    <dxf>
      <numFmt numFmtId="33" formatCode="_-* #,##0_-;\-* #,##0_-;_-* &quot;-&quot;_-;_-@_-"/>
      <fill>
        <patternFill patternType="none">
          <fgColor indexed="64"/>
          <bgColor auto="1"/>
        </patternFill>
      </fill>
    </dxf>
    <dxf>
      <numFmt numFmtId="33" formatCode="_-* #,##0_-;\-* #,##0_-;_-* &quot;-&quot;_-;_-@_-"/>
      <fill>
        <patternFill patternType="none">
          <fgColor indexed="64"/>
          <bgColor auto="1"/>
        </patternFill>
      </fill>
    </dxf>
    <dxf>
      <numFmt numFmtId="33" formatCode="_-* #,##0_-;\-* #,##0_-;_-* &quot;-&quot;_-;_-@_-"/>
      <fill>
        <patternFill patternType="none">
          <fgColor indexed="64"/>
          <bgColor auto="1"/>
        </patternFill>
      </fill>
    </dxf>
    <dxf>
      <numFmt numFmtId="33" formatCode="_-* #,##0_-;\-* #,##0_-;_-* &quot;-&quot;_-;_-@_-"/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3" formatCode="_-* #,##0_-;\-* #,##0_-;_-* &quot;-&quot;_-;_-@_-"/>
      <fill>
        <patternFill patternType="none">
          <fgColor indexed="64"/>
          <bgColor auto="1"/>
        </patternFill>
      </fill>
    </dxf>
    <dxf>
      <numFmt numFmtId="33" formatCode="_-* #,##0_-;\-* #,##0_-;_-* &quot;-&quot;_-;_-@_-"/>
      <fill>
        <patternFill patternType="none">
          <fgColor indexed="64"/>
          <bgColor auto="1"/>
        </patternFill>
      </fill>
    </dxf>
    <dxf>
      <numFmt numFmtId="33" formatCode="_-* #,##0_-;\-* #,##0_-;_-* &quot;-&quot;_-;_-@_-"/>
      <fill>
        <patternFill patternType="none">
          <fgColor indexed="64"/>
          <bgColor auto="1"/>
        </patternFill>
      </fill>
    </dxf>
    <dxf>
      <numFmt numFmtId="33" formatCode="_-* #,##0_-;\-* #,##0_-;_-* &quot;-&quot;_-;_-@_-"/>
      <fill>
        <patternFill patternType="none">
          <fgColor indexed="64"/>
          <bgColor auto="1"/>
        </patternFill>
      </fill>
    </dxf>
    <dxf>
      <numFmt numFmtId="33" formatCode="_-* #,##0_-;\-* #,##0_-;_-* &quot;-&quot;_-;_-@_-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64" formatCode="d\ \-\ mmm\ \-\ 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/>
        <color theme="0" tint="-0.14996795556505021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border>
        <left style="medium">
          <color rgb="FF002060"/>
        </left>
        <right style="medium">
          <color rgb="FF002060"/>
        </right>
        <top style="medium">
          <color rgb="FF002060"/>
        </top>
        <bottom style="medium">
          <color rgb="FF002060"/>
        </bottom>
      </border>
    </dxf>
    <dxf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</dxfs>
  <tableStyles count="3" defaultTableStyle="TableStyleMedium2" defaultPivotStyle="PivotStyleLight16">
    <tableStyle name="category Table style" pivot="0" count="3" xr9:uid="{47D131BD-AA3D-46E0-82CF-63988C4F2EFF}">
      <tableStyleElement type="wholeTable" dxfId="34"/>
      <tableStyleElement type="headerRow" dxfId="33"/>
      <tableStyleElement type="firstRowStripe" dxfId="32"/>
    </tableStyle>
    <tableStyle name="Invisible" pivot="0" table="0" count="0" xr9:uid="{D1ECDC73-CD22-49E2-A3D8-6F72143A900A}"/>
    <tableStyle name="Table Style 1" pivot="0" count="3" xr9:uid="{D058060B-70FD-48A7-A878-07CAB8439EEC}">
      <tableStyleElement type="wholeTable" dxfId="31"/>
      <tableStyleElement type="headerRow" dxfId="30"/>
      <tableStyleElement type="firstRowStripe" dxfId="29"/>
    </tableStyle>
  </tableStyles>
  <colors>
    <mruColors>
      <color rgb="FFCCD2DF"/>
      <color rgb="FF66799F"/>
      <color rgb="FFBF24C1"/>
      <color rgb="FFE5E8EF"/>
      <color rgb="FF6A7B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130967</xdr:colOff>
      <xdr:row>3</xdr:row>
      <xdr:rowOff>57625</xdr:rowOff>
    </xdr:from>
    <xdr:to>
      <xdr:col>17</xdr:col>
      <xdr:colOff>1216818</xdr:colOff>
      <xdr:row>6</xdr:row>
      <xdr:rowOff>93345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E3F5A10-2C8C-6061-90AB-B007A26C0418}"/>
            </a:ext>
          </a:extLst>
        </xdr:cNvPr>
        <xdr:cNvSpPr/>
      </xdr:nvSpPr>
      <xdr:spPr>
        <a:xfrm>
          <a:off x="130967" y="1274920"/>
          <a:ext cx="15671007" cy="887255"/>
        </a:xfrm>
        <a:prstGeom prst="roundRect">
          <a:avLst>
            <a:gd name="adj" fmla="val 2989"/>
          </a:avLst>
        </a:prstGeom>
        <a:noFill/>
        <a:ln w="12700">
          <a:solidFill>
            <a:srgbClr val="CCD2DF"/>
          </a:solidFill>
        </a:ln>
        <a:effectLst>
          <a:outerShdw blurRad="1651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10</xdr:col>
      <xdr:colOff>531571</xdr:colOff>
      <xdr:row>4</xdr:row>
      <xdr:rowOff>22579</xdr:rowOff>
    </xdr:from>
    <xdr:to>
      <xdr:col>12</xdr:col>
      <xdr:colOff>628501</xdr:colOff>
      <xdr:row>5</xdr:row>
      <xdr:rowOff>253373</xdr:rowOff>
    </xdr:to>
    <xdr:grpSp>
      <xdr:nvGrpSpPr>
        <xdr:cNvPr id="47" name="Group 20">
          <a:extLst>
            <a:ext uri="{FF2B5EF4-FFF2-40B4-BE49-F238E27FC236}">
              <a16:creationId xmlns:a16="http://schemas.microsoft.com/office/drawing/2014/main" id="{53B137E8-A8A7-BCD2-92E7-1EB0AA1E5539}"/>
            </a:ext>
          </a:extLst>
        </xdr:cNvPr>
        <xdr:cNvGrpSpPr/>
      </xdr:nvGrpSpPr>
      <xdr:grpSpPr>
        <a:xfrm>
          <a:off x="7770571" y="1527529"/>
          <a:ext cx="1820955" cy="507019"/>
          <a:chOff x="2187149" y="2545963"/>
          <a:chExt cx="1705963" cy="451267"/>
        </a:xfrm>
      </xdr:grpSpPr>
      <xdr:sp macro="[0]!Module1.AddEntryToTable" textlink="">
        <xdr:nvSpPr>
          <xdr:cNvPr id="48" name="Rectangle: Rounded Corners 28">
            <a:extLst>
              <a:ext uri="{FF2B5EF4-FFF2-40B4-BE49-F238E27FC236}">
                <a16:creationId xmlns:a16="http://schemas.microsoft.com/office/drawing/2014/main" id="{8C7765DE-32DF-6EAC-6698-3249BC03B75C}"/>
              </a:ext>
            </a:extLst>
          </xdr:cNvPr>
          <xdr:cNvSpPr/>
        </xdr:nvSpPr>
        <xdr:spPr>
          <a:xfrm>
            <a:off x="2187149" y="2558586"/>
            <a:ext cx="1705963" cy="416539"/>
          </a:xfrm>
          <a:prstGeom prst="roundRect">
            <a:avLst>
              <a:gd name="adj" fmla="val 50000"/>
            </a:avLst>
          </a:prstGeom>
          <a:solidFill>
            <a:srgbClr val="002060"/>
          </a:solidFill>
          <a:ln w="19050" cap="flat" cmpd="sng" algn="ctr">
            <a:noFill/>
            <a:prstDash val="solid"/>
            <a:miter lim="800000"/>
          </a:ln>
          <a:effectLst/>
          <a:scene3d>
            <a:camera prst="orthographicFront"/>
            <a:lightRig rig="morning" dir="t">
              <a:rot lat="0" lon="0" rev="2400000"/>
            </a:lightRig>
          </a:scene3d>
          <a:sp3d extrusionH="76200" contourW="12700" prstMaterial="softEdge">
            <a:bevelT w="139700" h="139700" prst="divot"/>
            <a:extrusionClr>
              <a:sysClr val="windowText" lastClr="000000"/>
            </a:extrusionClr>
            <a:contourClr>
              <a:sysClr val="windowText" lastClr="000000"/>
            </a:contourClr>
          </a:sp3d>
        </xdr:spPr>
        <xdr:txBody>
          <a:bodyPr vertOverflow="clip" horzOverflow="clip" rtlCol="0" anchor="b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GB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 Nova Light" panose="020B0304020202020204" pitchFamily="34" charset="0"/>
              <a:ea typeface="+mn-ea"/>
              <a:cs typeface="+mn-cs"/>
            </a:endParaRPr>
          </a:p>
        </xdr:txBody>
      </xdr:sp>
      <xdr:pic macro="[0]!Module1.AddEntryToTable">
        <xdr:nvPicPr>
          <xdr:cNvPr id="49" name="Graphic 29">
            <a:extLst>
              <a:ext uri="{FF2B5EF4-FFF2-40B4-BE49-F238E27FC236}">
                <a16:creationId xmlns:a16="http://schemas.microsoft.com/office/drawing/2014/main" id="{AB78A1BF-E7CC-7586-5E31-335FF957B0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656266" y="2591594"/>
            <a:ext cx="360000" cy="359999"/>
          </a:xfrm>
          <a:prstGeom prst="roundRect">
            <a:avLst/>
          </a:prstGeom>
        </xdr:spPr>
      </xdr:pic>
      <xdr:sp macro="[0]!Module1.AddEntryToTable" textlink="">
        <xdr:nvSpPr>
          <xdr:cNvPr id="50" name="TextBox 30">
            <a:extLst>
              <a:ext uri="{FF2B5EF4-FFF2-40B4-BE49-F238E27FC236}">
                <a16:creationId xmlns:a16="http://schemas.microsoft.com/office/drawing/2014/main" id="{A1B30B2B-5BC4-0585-2D60-7F015827E44B}"/>
              </a:ext>
            </a:extLst>
          </xdr:cNvPr>
          <xdr:cNvSpPr txBox="1"/>
        </xdr:nvSpPr>
        <xdr:spPr>
          <a:xfrm>
            <a:off x="2964538" y="2545963"/>
            <a:ext cx="531841" cy="451267"/>
          </a:xfrm>
          <a:prstGeom prst="round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4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 Nova Light" panose="020B0304020202020204" pitchFamily="34" charset="0"/>
                <a:ea typeface="+mn-ea"/>
                <a:cs typeface="+mn-cs"/>
              </a:rPr>
              <a:t>Add</a:t>
            </a:r>
          </a:p>
        </xdr:txBody>
      </xdr:sp>
    </xdr:grpSp>
    <xdr:clientData/>
  </xdr:twoCellAnchor>
  <xdr:twoCellAnchor editAs="absolute">
    <xdr:from>
      <xdr:col>0</xdr:col>
      <xdr:colOff>133352</xdr:colOff>
      <xdr:row>1</xdr:row>
      <xdr:rowOff>60295</xdr:rowOff>
    </xdr:from>
    <xdr:to>
      <xdr:col>13</xdr:col>
      <xdr:colOff>664548</xdr:colOff>
      <xdr:row>2</xdr:row>
      <xdr:rowOff>358725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88FD52E2-76B3-A6E2-5866-29E9FF667CB8}"/>
            </a:ext>
          </a:extLst>
        </xdr:cNvPr>
        <xdr:cNvGrpSpPr/>
      </xdr:nvGrpSpPr>
      <xdr:grpSpPr>
        <a:xfrm>
          <a:off x="133352" y="460345"/>
          <a:ext cx="10180021" cy="727055"/>
          <a:chOff x="241928" y="2441545"/>
          <a:chExt cx="10194784" cy="709910"/>
        </a:xfrm>
      </xdr:grpSpPr>
      <xdr:grpSp>
        <xdr:nvGrpSpPr>
          <xdr:cNvPr id="2142" name="Group 2141">
            <a:extLst>
              <a:ext uri="{FF2B5EF4-FFF2-40B4-BE49-F238E27FC236}">
                <a16:creationId xmlns:a16="http://schemas.microsoft.com/office/drawing/2014/main" id="{A105B9F6-891B-B4A8-A2D9-1301FE99359F}"/>
              </a:ext>
            </a:extLst>
          </xdr:cNvPr>
          <xdr:cNvGrpSpPr/>
        </xdr:nvGrpSpPr>
        <xdr:grpSpPr>
          <a:xfrm>
            <a:off x="4696901" y="2441545"/>
            <a:ext cx="2802581" cy="709910"/>
            <a:chOff x="4577375" y="571500"/>
            <a:chExt cx="2700722" cy="705923"/>
          </a:xfrm>
        </xdr:grpSpPr>
        <xdr:grpSp>
          <xdr:nvGrpSpPr>
            <xdr:cNvPr id="60" name="Group 59">
              <a:extLst>
                <a:ext uri="{FF2B5EF4-FFF2-40B4-BE49-F238E27FC236}">
                  <a16:creationId xmlns:a16="http://schemas.microsoft.com/office/drawing/2014/main" id="{70479ACF-D400-F169-8499-BFCBC23B7CD5}"/>
                </a:ext>
              </a:extLst>
            </xdr:cNvPr>
            <xdr:cNvGrpSpPr/>
          </xdr:nvGrpSpPr>
          <xdr:grpSpPr>
            <a:xfrm>
              <a:off x="4577375" y="571500"/>
              <a:ext cx="2700722" cy="705923"/>
              <a:chOff x="3615057" y="498332"/>
              <a:chExt cx="2455202" cy="705923"/>
            </a:xfrm>
          </xdr:grpSpPr>
          <xdr:sp macro="" textlink="">
            <xdr:nvSpPr>
              <xdr:cNvPr id="62" name="Rectangle: Rounded Corners 61">
                <a:extLst>
                  <a:ext uri="{FF2B5EF4-FFF2-40B4-BE49-F238E27FC236}">
                    <a16:creationId xmlns:a16="http://schemas.microsoft.com/office/drawing/2014/main" id="{6D66C367-E72F-FB35-11AE-8E28B079CAA5}"/>
                  </a:ext>
                </a:extLst>
              </xdr:cNvPr>
              <xdr:cNvSpPr/>
            </xdr:nvSpPr>
            <xdr:spPr>
              <a:xfrm>
                <a:off x="3615057" y="498332"/>
                <a:ext cx="2455200" cy="705923"/>
              </a:xfrm>
              <a:prstGeom prst="roundRect">
                <a:avLst>
                  <a:gd name="adj" fmla="val 6463"/>
                </a:avLst>
              </a:prstGeom>
              <a:solidFill>
                <a:schemeClr val="bg1"/>
              </a:solidFill>
              <a:ln w="3175">
                <a:solidFill>
                  <a:srgbClr val="002060"/>
                </a:solidFill>
              </a:ln>
              <a:effectLst>
                <a:outerShdw blurRad="127000" dir="5400000" sx="102000" sy="102000" algn="ctr" rotWithShape="0">
                  <a:schemeClr val="tx1">
                    <a:alpha val="10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>
                  <a:latin typeface="Calibri" panose="020F0502020204030204" pitchFamily="34" charset="0"/>
                  <a:cs typeface="Calibri" panose="020F0502020204030204" pitchFamily="34" charset="0"/>
                </a:endParaRPr>
              </a:p>
            </xdr:txBody>
          </xdr:sp>
          <xdr:sp macro="" textlink="">
            <xdr:nvSpPr>
              <xdr:cNvPr id="63" name="TextBox 62">
                <a:extLst>
                  <a:ext uri="{FF2B5EF4-FFF2-40B4-BE49-F238E27FC236}">
                    <a16:creationId xmlns:a16="http://schemas.microsoft.com/office/drawing/2014/main" id="{C7B4F87F-7524-2F35-44A0-A90711B5562E}"/>
                  </a:ext>
                </a:extLst>
              </xdr:cNvPr>
              <xdr:cNvSpPr txBox="1"/>
            </xdr:nvSpPr>
            <xdr:spPr>
              <a:xfrm>
                <a:off x="3615059" y="565069"/>
                <a:ext cx="2455200" cy="3484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100" b="0" baseline="0">
                    <a:solidFill>
                      <a:schemeClr val="bg1">
                        <a:lumMod val="65000"/>
                      </a:schemeClr>
                    </a:solidFill>
                    <a:latin typeface="Calibri" panose="020F0502020204030204" pitchFamily="34" charset="0"/>
                    <a:cs typeface="Calibri" panose="020F0502020204030204" pitchFamily="34" charset="0"/>
                  </a:rPr>
                  <a:t>N</a:t>
                </a:r>
                <a:r>
                  <a:rPr lang="en-GB" sz="1100" b="1" baseline="0">
                    <a:solidFill>
                      <a:schemeClr val="bg1">
                        <a:lumMod val="65000"/>
                      </a:schemeClr>
                    </a:solidFill>
                    <a:latin typeface="Calibri" panose="020F0502020204030204" pitchFamily="34" charset="0"/>
                    <a:cs typeface="Calibri" panose="020F0502020204030204" pitchFamily="34" charset="0"/>
                  </a:rPr>
                  <a:t>°</a:t>
                </a:r>
                <a:r>
                  <a:rPr lang="en-GB" sz="1100" b="0" baseline="0">
                    <a:solidFill>
                      <a:schemeClr val="bg1">
                        <a:lumMod val="65000"/>
                      </a:schemeClr>
                    </a:solidFill>
                    <a:latin typeface="Calibri" panose="020F0502020204030204" pitchFamily="34" charset="0"/>
                    <a:cs typeface="Calibri" panose="020F0502020204030204" pitchFamily="34" charset="0"/>
                  </a:rPr>
                  <a:t> of  Records</a:t>
                </a:r>
                <a:endParaRPr lang="en-GB" sz="1100" b="0">
                  <a:solidFill>
                    <a:schemeClr val="bg1">
                      <a:lumMod val="65000"/>
                    </a:schemeClr>
                  </a:solidFill>
                  <a:latin typeface="Calibri" panose="020F0502020204030204" pitchFamily="34" charset="0"/>
                  <a:cs typeface="Calibri" panose="020F0502020204030204" pitchFamily="34" charset="0"/>
                </a:endParaRPr>
              </a:p>
            </xdr:txBody>
          </xdr:sp>
          <xdr:sp macro="" textlink="Calculations!D11">
            <xdr:nvSpPr>
              <xdr:cNvPr id="2112" name="TextBox 2111">
                <a:extLst>
                  <a:ext uri="{FF2B5EF4-FFF2-40B4-BE49-F238E27FC236}">
                    <a16:creationId xmlns:a16="http://schemas.microsoft.com/office/drawing/2014/main" id="{9C82BAF2-80B6-09F8-678C-BC9AB7665829}"/>
                  </a:ext>
                </a:extLst>
              </xdr:cNvPr>
              <xdr:cNvSpPr txBox="1"/>
            </xdr:nvSpPr>
            <xdr:spPr>
              <a:xfrm>
                <a:off x="3688560" y="803193"/>
                <a:ext cx="838198" cy="3484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72068EF6-85DA-419B-A65A-137CB1310DAB}" type="TxLink">
                  <a:rPr lang="en-US" sz="1100" b="1" i="0" u="none" strike="noStrike">
                    <a:solidFill>
                      <a:srgbClr val="002060"/>
                    </a:solidFill>
                    <a:latin typeface="Arial Nova Light"/>
                    <a:ea typeface="+mn-ea"/>
                    <a:cs typeface="Calibri" panose="020F0502020204030204" pitchFamily="34" charset="0"/>
                  </a:rPr>
                  <a:pPr marL="0" indent="0" algn="ctr"/>
                  <a:t>51</a:t>
                </a:fld>
                <a:endParaRPr lang="en-GB" sz="1100" b="1" i="0" u="none" strike="noStrike">
                  <a:solidFill>
                    <a:srgbClr val="002060"/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endParaRPr>
              </a:p>
            </xdr:txBody>
          </xdr:sp>
          <xdr:sp macro="" textlink="Calculations!D12">
            <xdr:nvSpPr>
              <xdr:cNvPr id="2113" name="TextBox 2112">
                <a:extLst>
                  <a:ext uri="{FF2B5EF4-FFF2-40B4-BE49-F238E27FC236}">
                    <a16:creationId xmlns:a16="http://schemas.microsoft.com/office/drawing/2014/main" id="{998AD732-7942-84D8-9709-C044B4755DD3}"/>
                  </a:ext>
                </a:extLst>
              </xdr:cNvPr>
              <xdr:cNvSpPr txBox="1"/>
            </xdr:nvSpPr>
            <xdr:spPr>
              <a:xfrm>
                <a:off x="4502945" y="803193"/>
                <a:ext cx="1519238" cy="3484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C264D68F-B8F8-4E8E-8EA2-32D7D9708774}" type="TxLink">
                  <a:rPr lang="en-US" sz="1100" b="0" i="0" u="none" strike="noStrike">
                    <a:solidFill>
                      <a:srgbClr val="002060"/>
                    </a:solidFill>
                    <a:latin typeface="Arial Nova Light"/>
                    <a:ea typeface="+mn-ea"/>
                    <a:cs typeface="Calibri" panose="020F0502020204030204" pitchFamily="34" charset="0"/>
                  </a:rPr>
                  <a:pPr marL="0" indent="0" algn="ctr"/>
                  <a:t>( 10 this year )</a:t>
                </a:fld>
                <a:endParaRPr lang="en-GB" sz="1100" b="1" i="0" u="none" strike="noStrike">
                  <a:solidFill>
                    <a:srgbClr val="002060"/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endParaRPr>
              </a:p>
            </xdr:txBody>
          </xdr:sp>
        </xdr:grpSp>
        <xdr:pic>
          <xdr:nvPicPr>
            <xdr:cNvPr id="2137" name="Graphic 2136">
              <a:extLst>
                <a:ext uri="{FF2B5EF4-FFF2-40B4-BE49-F238E27FC236}">
                  <a16:creationId xmlns:a16="http://schemas.microsoft.com/office/drawing/2014/main" id="{1B027CEB-509D-6E6D-6E4D-88F8FD38DC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5250682" y="678655"/>
              <a:ext cx="228600" cy="228600"/>
            </a:xfrm>
            <a:prstGeom prst="rect">
              <a:avLst/>
            </a:prstGeom>
          </xdr:spPr>
        </xdr:pic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1B620E01-B9D3-FAB8-F809-B20385FE08FE}"/>
              </a:ext>
            </a:extLst>
          </xdr:cNvPr>
          <xdr:cNvGrpSpPr/>
        </xdr:nvGrpSpPr>
        <xdr:grpSpPr>
          <a:xfrm>
            <a:off x="1958702" y="2441545"/>
            <a:ext cx="2591841" cy="709910"/>
            <a:chOff x="1919967" y="2369333"/>
            <a:chExt cx="2510222" cy="705923"/>
          </a:xfrm>
        </xdr:grpSpPr>
        <xdr:grpSp>
          <xdr:nvGrpSpPr>
            <xdr:cNvPr id="2115" name="Group 2114">
              <a:extLst>
                <a:ext uri="{FF2B5EF4-FFF2-40B4-BE49-F238E27FC236}">
                  <a16:creationId xmlns:a16="http://schemas.microsoft.com/office/drawing/2014/main" id="{22D74C45-B0F5-5726-56D1-50821DB491CA}"/>
                </a:ext>
              </a:extLst>
            </xdr:cNvPr>
            <xdr:cNvGrpSpPr/>
          </xdr:nvGrpSpPr>
          <xdr:grpSpPr>
            <a:xfrm>
              <a:off x="1919967" y="2369333"/>
              <a:ext cx="2510222" cy="705923"/>
              <a:chOff x="2004482" y="498332"/>
              <a:chExt cx="2455202" cy="705923"/>
            </a:xfrm>
          </xdr:grpSpPr>
          <xdr:sp macro="" textlink="">
            <xdr:nvSpPr>
              <xdr:cNvPr id="2118" name="Rectangle: Rounded Corners 2117">
                <a:extLst>
                  <a:ext uri="{FF2B5EF4-FFF2-40B4-BE49-F238E27FC236}">
                    <a16:creationId xmlns:a16="http://schemas.microsoft.com/office/drawing/2014/main" id="{07228145-6B8C-9316-31A6-462588F9FE81}"/>
                  </a:ext>
                </a:extLst>
              </xdr:cNvPr>
              <xdr:cNvSpPr/>
            </xdr:nvSpPr>
            <xdr:spPr>
              <a:xfrm>
                <a:off x="2004482" y="498332"/>
                <a:ext cx="2455200" cy="705923"/>
              </a:xfrm>
              <a:prstGeom prst="roundRect">
                <a:avLst>
                  <a:gd name="adj" fmla="val 6463"/>
                </a:avLst>
              </a:prstGeom>
              <a:solidFill>
                <a:schemeClr val="bg1"/>
              </a:solidFill>
              <a:ln w="3175">
                <a:solidFill>
                  <a:srgbClr val="002060"/>
                </a:solidFill>
              </a:ln>
              <a:effectLst>
                <a:outerShdw blurRad="127000" dir="5400000" sx="102000" sy="102000" algn="ctr" rotWithShape="0">
                  <a:schemeClr val="tx1">
                    <a:alpha val="10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>
                  <a:latin typeface="Calibri" panose="020F0502020204030204" pitchFamily="34" charset="0"/>
                  <a:cs typeface="Calibri" panose="020F0502020204030204" pitchFamily="34" charset="0"/>
                </a:endParaRPr>
              </a:p>
            </xdr:txBody>
          </xdr:sp>
          <xdr:sp macro="" textlink="">
            <xdr:nvSpPr>
              <xdr:cNvPr id="2119" name="TextBox 2118">
                <a:extLst>
                  <a:ext uri="{FF2B5EF4-FFF2-40B4-BE49-F238E27FC236}">
                    <a16:creationId xmlns:a16="http://schemas.microsoft.com/office/drawing/2014/main" id="{471C7245-33A6-456C-2A9B-976BE893A208}"/>
                  </a:ext>
                </a:extLst>
              </xdr:cNvPr>
              <xdr:cNvSpPr txBox="1"/>
            </xdr:nvSpPr>
            <xdr:spPr>
              <a:xfrm>
                <a:off x="2004484" y="565069"/>
                <a:ext cx="2455200" cy="3484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100" b="0" baseline="0">
                    <a:solidFill>
                      <a:schemeClr val="bg1">
                        <a:lumMod val="65000"/>
                      </a:schemeClr>
                    </a:solidFill>
                    <a:latin typeface="Calibri" panose="020F0502020204030204" pitchFamily="34" charset="0"/>
                    <a:cs typeface="Calibri" panose="020F0502020204030204" pitchFamily="34" charset="0"/>
                  </a:rPr>
                  <a:t>Date of the Last Record</a:t>
                </a:r>
                <a:endParaRPr lang="en-GB" sz="1100" b="0">
                  <a:solidFill>
                    <a:schemeClr val="bg1">
                      <a:lumMod val="65000"/>
                    </a:schemeClr>
                  </a:solidFill>
                  <a:latin typeface="Calibri" panose="020F0502020204030204" pitchFamily="34" charset="0"/>
                  <a:cs typeface="Calibri" panose="020F0502020204030204" pitchFamily="34" charset="0"/>
                </a:endParaRPr>
              </a:p>
            </xdr:txBody>
          </xdr:sp>
          <xdr:sp macro="" textlink="Calculations!D9">
            <xdr:nvSpPr>
              <xdr:cNvPr id="2120" name="TextBox 2119">
                <a:extLst>
                  <a:ext uri="{FF2B5EF4-FFF2-40B4-BE49-F238E27FC236}">
                    <a16:creationId xmlns:a16="http://schemas.microsoft.com/office/drawing/2014/main" id="{B16DBCD9-9971-7AAC-D5F7-F2FBE0ED7952}"/>
                  </a:ext>
                </a:extLst>
              </xdr:cNvPr>
              <xdr:cNvSpPr txBox="1"/>
            </xdr:nvSpPr>
            <xdr:spPr>
              <a:xfrm>
                <a:off x="2067268" y="803193"/>
                <a:ext cx="1073942" cy="3484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068618DF-BA54-4BA6-874F-782A90D6E95D}" type="TxLink">
                  <a:rPr lang="en-US" sz="1100" b="1" i="0" u="none" strike="noStrike">
                    <a:solidFill>
                      <a:srgbClr val="002060"/>
                    </a:solidFill>
                    <a:latin typeface="Arial Nova Light"/>
                    <a:ea typeface="+mn-ea"/>
                    <a:cs typeface="Calibri" panose="020F0502020204030204" pitchFamily="34" charset="0"/>
                  </a:rPr>
                  <a:pPr marL="0" indent="0" algn="ctr"/>
                  <a:t>6-Jan-25</a:t>
                </a:fld>
                <a:endParaRPr lang="en-GB" sz="1100" b="1" i="0" u="none" strike="noStrike">
                  <a:solidFill>
                    <a:srgbClr val="002060"/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endParaRPr>
              </a:p>
            </xdr:txBody>
          </xdr:sp>
          <xdr:sp macro="" textlink="Calculations!D10">
            <xdr:nvSpPr>
              <xdr:cNvPr id="2121" name="TextBox 2120">
                <a:extLst>
                  <a:ext uri="{FF2B5EF4-FFF2-40B4-BE49-F238E27FC236}">
                    <a16:creationId xmlns:a16="http://schemas.microsoft.com/office/drawing/2014/main" id="{9D954B91-65EE-CE4E-6771-D69054424A63}"/>
                  </a:ext>
                </a:extLst>
              </xdr:cNvPr>
              <xdr:cNvSpPr txBox="1"/>
            </xdr:nvSpPr>
            <xdr:spPr>
              <a:xfrm>
                <a:off x="2985564" y="803193"/>
                <a:ext cx="1421607" cy="3484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E3BB169E-7991-4255-90B0-BB9B1C41AACD}" type="TxLink">
                  <a:rPr lang="en-US" sz="1100" b="0" i="0" u="none" strike="noStrike">
                    <a:solidFill>
                      <a:srgbClr val="002060"/>
                    </a:solidFill>
                    <a:latin typeface="Arial Nova Light"/>
                    <a:ea typeface="+mn-ea"/>
                    <a:cs typeface="Calibri" panose="020F0502020204030204" pitchFamily="34" charset="0"/>
                  </a:rPr>
                  <a:pPr marL="0" indent="0" algn="ctr"/>
                  <a:t>( 8 days ago )</a:t>
                </a:fld>
                <a:endParaRPr lang="en-GB" sz="1100" b="1" i="0" u="none" strike="noStrike">
                  <a:solidFill>
                    <a:srgbClr val="002060"/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endParaRPr>
              </a:p>
            </xdr:txBody>
          </xdr:sp>
        </xdr:grpSp>
        <xdr:pic>
          <xdr:nvPicPr>
            <xdr:cNvPr id="39" name="Graphic 38">
              <a:extLst>
                <a:ext uri="{FF2B5EF4-FFF2-40B4-BE49-F238E27FC236}">
                  <a16:creationId xmlns:a16="http://schemas.microsoft.com/office/drawing/2014/main" id="{CFD7191B-3AED-4B46-84C9-DA681647C4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2241434" y="2476490"/>
              <a:ext cx="230400" cy="230400"/>
            </a:xfrm>
            <a:prstGeom prst="rect">
              <a:avLst/>
            </a:prstGeom>
          </xdr:spPr>
        </xdr:pic>
      </xdr:grpSp>
      <xdr:grpSp>
        <xdr:nvGrpSpPr>
          <xdr:cNvPr id="53" name="Group 52">
            <a:extLst>
              <a:ext uri="{FF2B5EF4-FFF2-40B4-BE49-F238E27FC236}">
                <a16:creationId xmlns:a16="http://schemas.microsoft.com/office/drawing/2014/main" id="{6347E976-C961-6E3C-4DD8-3C4EDBE9757C}"/>
              </a:ext>
            </a:extLst>
          </xdr:cNvPr>
          <xdr:cNvGrpSpPr/>
        </xdr:nvGrpSpPr>
        <xdr:grpSpPr>
          <a:xfrm>
            <a:off x="241928" y="2441545"/>
            <a:ext cx="1568512" cy="709910"/>
            <a:chOff x="273836" y="2416957"/>
            <a:chExt cx="1512094" cy="705923"/>
          </a:xfrm>
        </xdr:grpSpPr>
        <xdr:grpSp>
          <xdr:nvGrpSpPr>
            <xdr:cNvPr id="54" name="Group 53">
              <a:extLst>
                <a:ext uri="{FF2B5EF4-FFF2-40B4-BE49-F238E27FC236}">
                  <a16:creationId xmlns:a16="http://schemas.microsoft.com/office/drawing/2014/main" id="{2F947790-1E7F-4902-85D0-1752DD9FBCC3}"/>
                </a:ext>
              </a:extLst>
            </xdr:cNvPr>
            <xdr:cNvGrpSpPr/>
          </xdr:nvGrpSpPr>
          <xdr:grpSpPr>
            <a:xfrm>
              <a:off x="273836" y="2416957"/>
              <a:ext cx="1512094" cy="705923"/>
              <a:chOff x="110957" y="498332"/>
              <a:chExt cx="1346110" cy="705923"/>
            </a:xfrm>
          </xdr:grpSpPr>
          <xdr:sp macro="" textlink="">
            <xdr:nvSpPr>
              <xdr:cNvPr id="55" name="Rectangle: Rounded Corners 54">
                <a:extLst>
                  <a:ext uri="{FF2B5EF4-FFF2-40B4-BE49-F238E27FC236}">
                    <a16:creationId xmlns:a16="http://schemas.microsoft.com/office/drawing/2014/main" id="{E567DAC5-EE07-BE41-2725-C88D8214E678}"/>
                  </a:ext>
                </a:extLst>
              </xdr:cNvPr>
              <xdr:cNvSpPr/>
            </xdr:nvSpPr>
            <xdr:spPr>
              <a:xfrm>
                <a:off x="110957" y="498332"/>
                <a:ext cx="1346026" cy="705923"/>
              </a:xfrm>
              <a:prstGeom prst="roundRect">
                <a:avLst>
                  <a:gd name="adj" fmla="val 6463"/>
                </a:avLst>
              </a:prstGeom>
              <a:solidFill>
                <a:schemeClr val="bg1"/>
              </a:solidFill>
              <a:ln w="3175">
                <a:solidFill>
                  <a:srgbClr val="002060"/>
                </a:solidFill>
              </a:ln>
              <a:effectLst>
                <a:outerShdw blurRad="127000" dir="5400000" sx="102000" sy="102000" algn="ctr" rotWithShape="0">
                  <a:schemeClr val="tx1">
                    <a:alpha val="10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>
                  <a:latin typeface="Calibri" panose="020F0502020204030204" pitchFamily="34" charset="0"/>
                  <a:cs typeface="Calibri" panose="020F0502020204030204" pitchFamily="34" charset="0"/>
                </a:endParaRPr>
              </a:p>
            </xdr:txBody>
          </xdr:sp>
          <xdr:sp macro="" textlink="">
            <xdr:nvSpPr>
              <xdr:cNvPr id="56" name="TextBox 55">
                <a:extLst>
                  <a:ext uri="{FF2B5EF4-FFF2-40B4-BE49-F238E27FC236}">
                    <a16:creationId xmlns:a16="http://schemas.microsoft.com/office/drawing/2014/main" id="{41102B43-DE77-187A-71F7-202EF2BD0CCA}"/>
                  </a:ext>
                </a:extLst>
              </xdr:cNvPr>
              <xdr:cNvSpPr txBox="1"/>
            </xdr:nvSpPr>
            <xdr:spPr>
              <a:xfrm>
                <a:off x="112690" y="565069"/>
                <a:ext cx="1344377" cy="3484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1100" b="0">
                    <a:solidFill>
                      <a:schemeClr val="bg1">
                        <a:lumMod val="65000"/>
                      </a:schemeClr>
                    </a:solidFill>
                    <a:latin typeface="Calibri" panose="020F0502020204030204" pitchFamily="34" charset="0"/>
                    <a:cs typeface="Calibri" panose="020F0502020204030204" pitchFamily="34" charset="0"/>
                  </a:rPr>
                  <a:t>Today's</a:t>
                </a:r>
                <a:r>
                  <a:rPr lang="en-GB" sz="1100" b="0" baseline="0">
                    <a:solidFill>
                      <a:schemeClr val="bg1">
                        <a:lumMod val="65000"/>
                      </a:schemeClr>
                    </a:solidFill>
                    <a:latin typeface="Calibri" panose="020F0502020204030204" pitchFamily="34" charset="0"/>
                    <a:cs typeface="Calibri" panose="020F0502020204030204" pitchFamily="34" charset="0"/>
                  </a:rPr>
                  <a:t> Date</a:t>
                </a:r>
                <a:endParaRPr lang="en-GB" sz="1100" b="0">
                  <a:solidFill>
                    <a:schemeClr val="bg1">
                      <a:lumMod val="65000"/>
                    </a:schemeClr>
                  </a:solidFill>
                  <a:latin typeface="Calibri" panose="020F0502020204030204" pitchFamily="34" charset="0"/>
                  <a:cs typeface="Calibri" panose="020F0502020204030204" pitchFamily="34" charset="0"/>
                </a:endParaRPr>
              </a:p>
            </xdr:txBody>
          </xdr:sp>
          <xdr:sp macro="" textlink="Calculations!D8">
            <xdr:nvSpPr>
              <xdr:cNvPr id="57" name="TextBox 56">
                <a:extLst>
                  <a:ext uri="{FF2B5EF4-FFF2-40B4-BE49-F238E27FC236}">
                    <a16:creationId xmlns:a16="http://schemas.microsoft.com/office/drawing/2014/main" id="{3A45E647-3DBC-79AD-8FD4-EA1C6BF9EDAB}"/>
                  </a:ext>
                </a:extLst>
              </xdr:cNvPr>
              <xdr:cNvSpPr txBox="1"/>
            </xdr:nvSpPr>
            <xdr:spPr>
              <a:xfrm>
                <a:off x="112691" y="803193"/>
                <a:ext cx="1188000" cy="3484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4EB197F3-6C21-4428-B2C1-16BA71543BBA}" type="TxLink">
                  <a:rPr lang="en-US" sz="1100" b="1" i="0" u="none" strike="noStrike">
                    <a:solidFill>
                      <a:srgbClr val="002060"/>
                    </a:solidFill>
                    <a:latin typeface="Arial Nova Light"/>
                    <a:cs typeface="Calibri" panose="020F0502020204030204" pitchFamily="34" charset="0"/>
                  </a:rPr>
                  <a:pPr algn="ctr"/>
                  <a:t>14-Jan-25</a:t>
                </a:fld>
                <a:endParaRPr lang="en-GB" sz="1100" b="1">
                  <a:solidFill>
                    <a:srgbClr val="002060"/>
                  </a:solidFill>
                  <a:latin typeface="Calibri" panose="020F0502020204030204" pitchFamily="34" charset="0"/>
                  <a:cs typeface="Calibri" panose="020F0502020204030204" pitchFamily="34" charset="0"/>
                </a:endParaRPr>
              </a:p>
            </xdr:txBody>
          </xdr:sp>
        </xdr:grpSp>
        <xdr:pic>
          <xdr:nvPicPr>
            <xdr:cNvPr id="41" name="Graphic 40">
              <a:extLst>
                <a:ext uri="{FF2B5EF4-FFF2-40B4-BE49-F238E27FC236}">
                  <a16:creationId xmlns:a16="http://schemas.microsoft.com/office/drawing/2014/main" id="{D5834872-9A71-4E5E-99EE-E38FA157039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416717" y="2524113"/>
              <a:ext cx="230400" cy="228600"/>
            </a:xfrm>
            <a:prstGeom prst="rect">
              <a:avLst/>
            </a:prstGeom>
          </xdr:spPr>
        </xdr:pic>
      </xdr:grp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1890C036-8A55-3C92-4B20-3BC882BF5D21}"/>
              </a:ext>
            </a:extLst>
          </xdr:cNvPr>
          <xdr:cNvGrpSpPr/>
        </xdr:nvGrpSpPr>
        <xdr:grpSpPr>
          <a:xfrm>
            <a:off x="7649649" y="2441545"/>
            <a:ext cx="2787063" cy="709910"/>
            <a:chOff x="3615057" y="498332"/>
            <a:chExt cx="2455202" cy="705923"/>
          </a:xfrm>
        </xdr:grpSpPr>
        <xdr:sp macro="" textlink="">
          <xdr:nvSpPr>
            <xdr:cNvPr id="45" name="Rectangle: Rounded Corners 44">
              <a:extLst>
                <a:ext uri="{FF2B5EF4-FFF2-40B4-BE49-F238E27FC236}">
                  <a16:creationId xmlns:a16="http://schemas.microsoft.com/office/drawing/2014/main" id="{11C0D4CD-AA41-E2BC-F05A-659131DE2556}"/>
                </a:ext>
              </a:extLst>
            </xdr:cNvPr>
            <xdr:cNvSpPr/>
          </xdr:nvSpPr>
          <xdr:spPr>
            <a:xfrm>
              <a:off x="3615057" y="498332"/>
              <a:ext cx="2455200" cy="705923"/>
            </a:xfrm>
            <a:prstGeom prst="roundRect">
              <a:avLst>
                <a:gd name="adj" fmla="val 6463"/>
              </a:avLst>
            </a:prstGeom>
            <a:solidFill>
              <a:schemeClr val="bg1"/>
            </a:solidFill>
            <a:ln w="3175">
              <a:solidFill>
                <a:srgbClr val="002060"/>
              </a:solidFill>
            </a:ln>
            <a:effectLst>
              <a:outerShdw blurRad="127000" dir="5400000" sx="102000" sy="102000" algn="ctr" rotWithShape="0">
                <a:schemeClr val="tx1">
                  <a:alpha val="10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Calibri" panose="020F0502020204030204" pitchFamily="34" charset="0"/>
                <a:cs typeface="Calibri" panose="020F0502020204030204" pitchFamily="34" charset="0"/>
              </a:endParaRPr>
            </a:p>
          </xdr:txBody>
        </xdr:sp>
        <xdr:sp macro="" textlink="Calculations!C13">
          <xdr:nvSpPr>
            <xdr:cNvPr id="46" name="TextBox 45">
              <a:extLst>
                <a:ext uri="{FF2B5EF4-FFF2-40B4-BE49-F238E27FC236}">
                  <a16:creationId xmlns:a16="http://schemas.microsoft.com/office/drawing/2014/main" id="{7F637664-F8F6-C563-6C9C-C7859FC8A39D}"/>
                </a:ext>
              </a:extLst>
            </xdr:cNvPr>
            <xdr:cNvSpPr txBox="1"/>
          </xdr:nvSpPr>
          <xdr:spPr>
            <a:xfrm>
              <a:off x="3626926" y="565069"/>
              <a:ext cx="2443333" cy="3484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 b="1" i="0" u="none" strike="noStrike">
                  <a:solidFill>
                    <a:schemeClr val="bg1">
                      <a:lumMod val="75000"/>
                    </a:schemeClr>
                  </a:solidFill>
                  <a:latin typeface="+mj-lt"/>
                  <a:cs typeface="Calibri" panose="020F0502020204030204" pitchFamily="34" charset="0"/>
                </a:rPr>
                <a:t>Total </a:t>
              </a:r>
              <a:fld id="{8F643D43-0033-4B05-A6D3-7256E1C0F2AD}" type="TxLink">
                <a:rPr lang="en-US" sz="1100" b="1" i="0" u="none" strike="noStrike">
                  <a:solidFill>
                    <a:schemeClr val="bg1">
                      <a:lumMod val="75000"/>
                    </a:schemeClr>
                  </a:solidFill>
                  <a:latin typeface="+mj-lt"/>
                  <a:cs typeface="Calibri" panose="020F0502020204030204" pitchFamily="34" charset="0"/>
                </a:rPr>
                <a:pPr algn="ctr"/>
                <a:t>Lifetime Units Sold</a:t>
              </a:fld>
              <a:endParaRPr lang="en-GB" sz="1100" b="0">
                <a:solidFill>
                  <a:schemeClr val="bg1">
                    <a:lumMod val="75000"/>
                  </a:schemeClr>
                </a:solidFill>
                <a:latin typeface="+mj-lt"/>
                <a:cs typeface="Calibri" panose="020F0502020204030204" pitchFamily="34" charset="0"/>
              </a:endParaRPr>
            </a:p>
          </xdr:txBody>
        </xdr:sp>
        <xdr:sp macro="" textlink="Calculations!D13">
          <xdr:nvSpPr>
            <xdr:cNvPr id="52" name="TextBox 51">
              <a:extLst>
                <a:ext uri="{FF2B5EF4-FFF2-40B4-BE49-F238E27FC236}">
                  <a16:creationId xmlns:a16="http://schemas.microsoft.com/office/drawing/2014/main" id="{B879CC6D-2014-91FA-8663-95078B84E191}"/>
                </a:ext>
              </a:extLst>
            </xdr:cNvPr>
            <xdr:cNvSpPr txBox="1"/>
          </xdr:nvSpPr>
          <xdr:spPr>
            <a:xfrm>
              <a:off x="3643699" y="803193"/>
              <a:ext cx="2378485" cy="3484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FDACB2B-F79B-4695-8858-4FF37E96F6F7}" type="TxLink">
                <a:rPr lang="en-US" sz="1100" b="1" i="0" u="none" strike="noStrike">
                  <a:solidFill>
                    <a:srgbClr val="000000"/>
                  </a:solidFill>
                  <a:latin typeface="Arial Nova Light"/>
                  <a:ea typeface="+mn-ea"/>
                  <a:cs typeface="Calibri" panose="020F0502020204030204" pitchFamily="34" charset="0"/>
                </a:rPr>
                <a:pPr marL="0" indent="0" algn="ctr"/>
                <a:t> 106 </a:t>
              </a:fld>
              <a:endParaRPr lang="en-GB" sz="1100" b="1" i="0" u="none" strike="noStrike">
                <a:solidFill>
                  <a:srgbClr val="002060"/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80963</xdr:rowOff>
    </xdr:from>
    <xdr:to>
      <xdr:col>17</xdr:col>
      <xdr:colOff>325266</xdr:colOff>
      <xdr:row>7</xdr:row>
      <xdr:rowOff>147211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B6A3BCB-34C5-47BB-9A92-26BCDB6ED3F4}"/>
            </a:ext>
          </a:extLst>
        </xdr:cNvPr>
        <xdr:cNvGrpSpPr/>
      </xdr:nvGrpSpPr>
      <xdr:grpSpPr>
        <a:xfrm>
          <a:off x="123825" y="404813"/>
          <a:ext cx="2935116" cy="1218773"/>
          <a:chOff x="527538" y="576383"/>
          <a:chExt cx="2932538" cy="1188000"/>
        </a:xfrm>
      </xdr:grpSpPr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6F149DE6-6DE8-197C-D2AD-7D06F2FFECF4}"/>
              </a:ext>
            </a:extLst>
          </xdr:cNvPr>
          <xdr:cNvSpPr/>
        </xdr:nvSpPr>
        <xdr:spPr>
          <a:xfrm>
            <a:off x="527538" y="576383"/>
            <a:ext cx="2932538" cy="1188000"/>
          </a:xfrm>
          <a:prstGeom prst="roundRect">
            <a:avLst>
              <a:gd name="adj" fmla="val 6463"/>
            </a:avLst>
          </a:prstGeom>
          <a:solidFill>
            <a:schemeClr val="bg1"/>
          </a:solidFill>
          <a:ln w="12700">
            <a:noFill/>
          </a:ln>
          <a:effectLst>
            <a:outerShdw blurRad="127000" dir="5400000" sx="102000" sy="102000" algn="ctr" rotWithShape="0">
              <a:schemeClr val="tx1">
                <a:alpha val="10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100"/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A9CF6A9B-A4EF-E3F1-4BF7-CF6671A8DEDB}"/>
              </a:ext>
            </a:extLst>
          </xdr:cNvPr>
          <xdr:cNvSpPr txBox="1"/>
        </xdr:nvSpPr>
        <xdr:spPr>
          <a:xfrm>
            <a:off x="949479" y="751407"/>
            <a:ext cx="2088656" cy="3484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>
                <a:solidFill>
                  <a:srgbClr val="002060"/>
                </a:solidFill>
              </a:rPr>
              <a:t>Selected</a:t>
            </a:r>
            <a:r>
              <a:rPr lang="en-GB" sz="1400" b="1" baseline="0">
                <a:solidFill>
                  <a:srgbClr val="002060"/>
                </a:solidFill>
              </a:rPr>
              <a:t> year &amp; Period</a:t>
            </a:r>
            <a:endParaRPr lang="en-GB" sz="1400" b="1">
              <a:solidFill>
                <a:srgbClr val="002060"/>
              </a:solidFill>
            </a:endParaRPr>
          </a:p>
        </xdr:txBody>
      </xdr:sp>
      <xdr:sp macro="" textlink="selected_year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E592E7D9-0ED7-E1D5-D6D3-D66932CE441E}"/>
              </a:ext>
            </a:extLst>
          </xdr:cNvPr>
          <xdr:cNvSpPr/>
        </xdr:nvSpPr>
        <xdr:spPr>
          <a:xfrm>
            <a:off x="801077" y="1216768"/>
            <a:ext cx="859692" cy="351692"/>
          </a:xfrm>
          <a:prstGeom prst="roundRect">
            <a:avLst>
              <a:gd name="adj" fmla="val 50000"/>
            </a:avLst>
          </a:prstGeom>
          <a:noFill/>
          <a:ln>
            <a:solidFill>
              <a:schemeClr val="accent5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B66B35A-DF10-482D-8851-E6DEEB465A6E}" type="TxLink">
              <a:rPr lang="en-US" sz="1400" b="1" i="0" u="none" strike="noStrike">
                <a:solidFill>
                  <a:srgbClr val="002060"/>
                </a:solidFill>
                <a:latin typeface="Arial Nova Light"/>
              </a:rPr>
              <a:pPr algn="ctr"/>
              <a:t>2024</a:t>
            </a:fld>
            <a:endParaRPr lang="en-US" sz="1600" b="1">
              <a:solidFill>
                <a:srgbClr val="002060"/>
              </a:solidFill>
            </a:endParaRPr>
          </a:p>
        </xdr:txBody>
      </xdr:sp>
      <xdr:sp macro="" textlink="selected_period_display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799C5642-CCCF-3EA6-A0BD-A4E8D2F02973}"/>
              </a:ext>
            </a:extLst>
          </xdr:cNvPr>
          <xdr:cNvSpPr/>
        </xdr:nvSpPr>
        <xdr:spPr>
          <a:xfrm>
            <a:off x="1842477" y="1216768"/>
            <a:ext cx="1312986" cy="351692"/>
          </a:xfrm>
          <a:prstGeom prst="roundRect">
            <a:avLst>
              <a:gd name="adj" fmla="val 50000"/>
            </a:avLst>
          </a:prstGeom>
          <a:noFill/>
          <a:ln>
            <a:solidFill>
              <a:schemeClr val="accent5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D2891CA-D39B-4A25-BB2C-0E8AD5B70B48}" type="TxLink">
              <a:rPr lang="en-US" sz="1400" b="1" i="0" u="none" strike="noStrike">
                <a:solidFill>
                  <a:srgbClr val="000000"/>
                </a:solidFill>
                <a:latin typeface="Arial Nova Light"/>
              </a:rPr>
              <a:pPr algn="ctr"/>
              <a:t>December</a:t>
            </a:fld>
            <a:endParaRPr lang="en-US" sz="1400" b="1">
              <a:solidFill>
                <a:srgbClr val="002060"/>
              </a:solidFill>
            </a:endParaRPr>
          </a:p>
        </xdr:txBody>
      </xdr:sp>
    </xdr:grpSp>
    <xdr:clientData/>
  </xdr:twoCellAnchor>
  <xdr:twoCellAnchor editAs="absolute">
    <xdr:from>
      <xdr:col>18</xdr:col>
      <xdr:colOff>131983</xdr:colOff>
      <xdr:row>1</xdr:row>
      <xdr:rowOff>80963</xdr:rowOff>
    </xdr:from>
    <xdr:to>
      <xdr:col>25</xdr:col>
      <xdr:colOff>93738</xdr:colOff>
      <xdr:row>7</xdr:row>
      <xdr:rowOff>147211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8A12A3C9-DB88-4A9F-9CAA-903BFE6750FE}"/>
            </a:ext>
          </a:extLst>
        </xdr:cNvPr>
        <xdr:cNvGrpSpPr/>
      </xdr:nvGrpSpPr>
      <xdr:grpSpPr>
        <a:xfrm>
          <a:off x="3227608" y="404813"/>
          <a:ext cx="4257530" cy="1218773"/>
          <a:chOff x="6066690" y="576383"/>
          <a:chExt cx="4220309" cy="118800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E75766D4-A38F-0468-FF68-46403CC584C6}"/>
              </a:ext>
            </a:extLst>
          </xdr:cNvPr>
          <xdr:cNvSpPr/>
        </xdr:nvSpPr>
        <xdr:spPr>
          <a:xfrm>
            <a:off x="6066690" y="576383"/>
            <a:ext cx="4220309" cy="1188000"/>
          </a:xfrm>
          <a:prstGeom prst="roundRect">
            <a:avLst>
              <a:gd name="adj" fmla="val 6463"/>
            </a:avLst>
          </a:prstGeom>
          <a:solidFill>
            <a:schemeClr val="bg1"/>
          </a:solidFill>
          <a:ln w="12700">
            <a:noFill/>
          </a:ln>
          <a:effectLst>
            <a:outerShdw blurRad="127000" dir="5400000" sx="102000" sy="102000" algn="ctr" rotWithShape="0">
              <a:schemeClr val="tx1">
                <a:alpha val="10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100"/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B4CB3818-7A09-3D98-5A46-672329CEC642}"/>
              </a:ext>
            </a:extLst>
          </xdr:cNvPr>
          <xdr:cNvSpPr txBox="1"/>
        </xdr:nvSpPr>
        <xdr:spPr>
          <a:xfrm>
            <a:off x="6160205" y="1218374"/>
            <a:ext cx="1122347" cy="348480"/>
          </a:xfrm>
          <a:prstGeom prst="roundRect">
            <a:avLst>
              <a:gd name="adj" fmla="val 50000"/>
            </a:avLst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en-US" sz="1200" b="1" i="0" u="none" strike="noStrike">
              <a:solidFill>
                <a:srgbClr val="002060"/>
              </a:solidFill>
              <a:latin typeface="Arial Nova Light"/>
              <a:ea typeface="+mn-ea"/>
              <a:cs typeface="+mn-cs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868F1DD-EA5A-EAC7-FBE5-FC85052E37DA}"/>
              </a:ext>
            </a:extLst>
          </xdr:cNvPr>
          <xdr:cNvSpPr txBox="1"/>
        </xdr:nvSpPr>
        <xdr:spPr>
          <a:xfrm>
            <a:off x="7282552" y="1218374"/>
            <a:ext cx="2919163" cy="348480"/>
          </a:xfrm>
          <a:prstGeom prst="roundRect">
            <a:avLst>
              <a:gd name="adj" fmla="val 50000"/>
            </a:avLst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endParaRPr lang="en-US" i="0" u="none" strike="noStrike">
              <a:latin typeface="Arial Nova Light"/>
              <a:ea typeface="+mn-ea"/>
              <a:cs typeface="+mn-cs"/>
            </a:endParaRP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68E0B48-DAA5-DC25-F6CA-E851CCF2B808}"/>
              </a:ext>
            </a:extLst>
          </xdr:cNvPr>
          <xdr:cNvSpPr txBox="1"/>
        </xdr:nvSpPr>
        <xdr:spPr>
          <a:xfrm>
            <a:off x="7132517" y="751407"/>
            <a:ext cx="2088656" cy="3484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>
                <a:solidFill>
                  <a:schemeClr val="bg1"/>
                </a:solidFill>
              </a:rPr>
              <a:t>Period Tracking Balance</a:t>
            </a:r>
          </a:p>
        </xdr:txBody>
      </xdr:sp>
    </xdr:grpSp>
    <xdr:clientData/>
  </xdr:twoCellAnchor>
  <xdr:twoCellAnchor editAs="absolute">
    <xdr:from>
      <xdr:col>25</xdr:col>
      <xdr:colOff>262404</xdr:colOff>
      <xdr:row>1</xdr:row>
      <xdr:rowOff>80963</xdr:rowOff>
    </xdr:from>
    <xdr:to>
      <xdr:col>30</xdr:col>
      <xdr:colOff>446552</xdr:colOff>
      <xdr:row>7</xdr:row>
      <xdr:rowOff>147211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E341FE91-E0C8-4E65-8C28-04FC5D399D8E}"/>
            </a:ext>
          </a:extLst>
        </xdr:cNvPr>
        <xdr:cNvGrpSpPr/>
      </xdr:nvGrpSpPr>
      <xdr:grpSpPr>
        <a:xfrm>
          <a:off x="7653804" y="404813"/>
          <a:ext cx="3232148" cy="1218773"/>
          <a:chOff x="10221499" y="576383"/>
          <a:chExt cx="3208723" cy="1188000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98114A-F307-5D53-69BC-AF8B082FA690}"/>
              </a:ext>
            </a:extLst>
          </xdr:cNvPr>
          <xdr:cNvSpPr/>
        </xdr:nvSpPr>
        <xdr:spPr>
          <a:xfrm>
            <a:off x="10221499" y="576383"/>
            <a:ext cx="3208723" cy="1188000"/>
          </a:xfrm>
          <a:prstGeom prst="roundRect">
            <a:avLst>
              <a:gd name="adj" fmla="val 6463"/>
            </a:avLst>
          </a:prstGeom>
          <a:solidFill>
            <a:schemeClr val="bg1"/>
          </a:solidFill>
          <a:ln w="12700">
            <a:noFill/>
          </a:ln>
          <a:effectLst>
            <a:outerShdw blurRad="127000" dir="5400000" sx="102000" sy="102000" algn="ctr" rotWithShape="0">
              <a:schemeClr val="tx1">
                <a:alpha val="10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AA15592C-A4FF-F150-EC64-372DEB7D56D9}"/>
              </a:ext>
            </a:extLst>
          </xdr:cNvPr>
          <xdr:cNvSpPr txBox="1"/>
        </xdr:nvSpPr>
        <xdr:spPr>
          <a:xfrm>
            <a:off x="11418476" y="1218374"/>
            <a:ext cx="685603" cy="34848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en-US" sz="1400" b="1" i="0" u="none" strike="noStrike">
              <a:solidFill>
                <a:srgbClr val="D19108"/>
              </a:solidFill>
              <a:latin typeface="Arial Nova Light"/>
              <a:ea typeface="+mn-ea"/>
              <a:cs typeface="+mn-cs"/>
            </a:endParaRP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CB0DDD4A-7225-1FAE-89D4-15FE71F5C71A}"/>
              </a:ext>
            </a:extLst>
          </xdr:cNvPr>
          <xdr:cNvSpPr txBox="1"/>
        </xdr:nvSpPr>
        <xdr:spPr>
          <a:xfrm>
            <a:off x="10453078" y="1218374"/>
            <a:ext cx="1172308" cy="3484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endParaRPr lang="en-US" i="0" u="none" strike="noStrike">
              <a:latin typeface="Arial Nova Light"/>
              <a:ea typeface="+mn-ea"/>
              <a:cs typeface="+mn-cs"/>
            </a:endParaRP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3D73A8D1-857A-490C-B896-B1230BF32100}"/>
              </a:ext>
            </a:extLst>
          </xdr:cNvPr>
          <xdr:cNvSpPr txBox="1"/>
        </xdr:nvSpPr>
        <xdr:spPr>
          <a:xfrm>
            <a:off x="10781532" y="751407"/>
            <a:ext cx="2088656" cy="3484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1400" b="1">
                <a:solidFill>
                  <a:schemeClr val="bg1"/>
                </a:solidFill>
              </a:rPr>
              <a:t>Period Savings Rate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7C5D1788-5E9B-17BE-D3B0-A467171F8767}"/>
              </a:ext>
            </a:extLst>
          </xdr:cNvPr>
          <xdr:cNvSpPr txBox="1"/>
        </xdr:nvSpPr>
        <xdr:spPr>
          <a:xfrm>
            <a:off x="11996619" y="1218374"/>
            <a:ext cx="1172308" cy="3484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endParaRPr lang="en-US" i="0" u="none" strike="noStrike">
              <a:latin typeface="Arial Nova Light"/>
              <a:ea typeface="+mn-ea"/>
              <a:cs typeface="+mn-cs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8CEC354-DF90-4C00-8144-A78CA611C684}" name="PriceHistory" displayName="PriceHistory" ref="B3:F25" totalsRowShown="0" headerRowDxfId="28" dataDxfId="27">
  <sortState xmlns:xlrd2="http://schemas.microsoft.com/office/spreadsheetml/2017/richdata2" ref="B4:F25">
    <sortCondition ref="B3:B25"/>
  </sortState>
  <tableColumns count="5">
    <tableColumn id="1" xr3:uid="{3F186043-3786-4618-831F-DAC274E31E0B}" name="Product" dataDxfId="26"/>
    <tableColumn id="2" xr3:uid="{8E38FF83-860F-43D6-B3BA-0FFFCFA81284}" name="Start Date" dataDxfId="25"/>
    <tableColumn id="3" xr3:uid="{4279AEA9-2D58-4E97-AA84-945DBB48D661}" name="End Date" dataDxfId="24"/>
    <tableColumn id="4" xr3:uid="{6F782C17-DD03-4D00-87BA-56B1A238A0AD}" name="Buying Price" dataDxfId="23"/>
    <tableColumn id="5" xr3:uid="{75AFF049-1C57-4981-AC23-7DEB7298B91E}" name="Selling Price" dataDxfId="22"/>
  </tableColumns>
  <tableStyleInfo name="category Table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E788726-BC32-43D6-997F-D09FE9551622}" name="SalesInventory" displayName="SalesInventory" ref="B9:P60" totalsRowShown="0" headerRowDxfId="16" dataDxfId="15">
  <sortState xmlns:xlrd2="http://schemas.microsoft.com/office/spreadsheetml/2017/richdata2" ref="B10:P59">
    <sortCondition ref="B9:B59"/>
  </sortState>
  <tableColumns count="15">
    <tableColumn id="1" xr3:uid="{4608081E-0CBC-4F10-90A6-5852214F3CC9}" name="Date" dataDxfId="14"/>
    <tableColumn id="3" xr3:uid="{CD7CF291-4C8C-4AF6-A77C-3143A7941CBA}" name="Product" dataDxfId="13"/>
    <tableColumn id="4" xr3:uid="{A5DD70A8-592C-4FA9-B820-EF740F352B24}" name="Stock In" dataDxfId="12"/>
    <tableColumn id="5" xr3:uid="{762C16E1-7F91-48E4-8C71-4CAE124691C3}" name="Qty_sold" dataDxfId="11"/>
    <tableColumn id="8" xr3:uid="{A1337640-F923-4839-B733-83F8D90F01D5}" name="SalesAmount" dataDxfId="10"/>
    <tableColumn id="9" xr3:uid="{2BC74A6A-313D-4B1F-B764-930E54CD5125}" name="Transport" dataDxfId="9"/>
    <tableColumn id="23" xr3:uid="{890F8C7A-EE4B-4CA3-BDF5-9DD6426D0A3A}" name="count" dataDxfId="8">
      <calculatedColumnFormula>COUNTIF(SalesInventory[Product], SalesInventory[[#This Row],[Product]])</calculatedColumnFormula>
    </tableColumn>
    <tableColumn id="22" xr3:uid="{4902DBA7-9EA7-45B6-B79C-15924D7C4660}" name="Ocurrence" dataDxfId="7">
      <calculatedColumnFormula>COUNTIF(INDEX(SalesInventory[Product],1):SalesInventory[[#This Row],[Product]],SalesInventory[[#This Row],[Product]])</calculatedColumnFormula>
    </tableColumn>
    <tableColumn id="24" xr3:uid="{96570E0C-2263-416E-A8D0-2954950DB64D}" name="crrntBP" dataDxfId="6">
      <calculatedColumnFormula array="1">INDEX(PriceHistory[Buying Price], MATCH(1, (PriceHistory[Product]=C10)*(B10&gt;=PriceHistory[Start Date])*((B10&lt;=PriceHistory[End Date])+(PriceHistory[End Date]="")), 0))</calculatedColumnFormula>
    </tableColumn>
    <tableColumn id="21" xr3:uid="{443629A8-52EB-4A79-A0FF-24B6602C01F8}" name="crrntSP" dataDxfId="5">
      <calculatedColumnFormula array="1">INDEX(PriceHistory[Selling Price], MATCH(1, (PriceHistory[Product]=C10)*(B10&gt;=PriceHistory[Start Date])*((B10&lt;=PriceHistory[End Date])+(PriceHistory[End Date]="")), 0))</calculatedColumnFormula>
    </tableColumn>
    <tableColumn id="13" xr3:uid="{142C8D3E-43A9-4A66-8338-494D167F6695}" name="Total Cost" dataDxfId="4">
      <calculatedColumnFormula>SUM((SalesInventory[[#This Row],[Qty_sold]]*SalesInventory[[#This Row],[crrntBP]]), SalesInventory[[#This Row],[Transport]])</calculatedColumnFormula>
    </tableColumn>
    <tableColumn id="15" xr3:uid="{F4055349-B370-4259-9D93-67E5F6FB5474}" name="Profit" dataDxfId="3">
      <calculatedColumnFormula>SalesInventory[[#This Row],[SalesAmount]] - SalesInventory[[#This Row],[Total Cost]]</calculatedColumnFormula>
    </tableColumn>
    <tableColumn id="11" xr3:uid="{8BE67751-C8AD-4ED1-8E54-E3883470C46E}" name="Opening stock" dataDxfId="2">
      <calculatedColumnFormula array="1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calculatedColumnFormula>
    </tableColumn>
    <tableColumn id="12" xr3:uid="{7C40B2EB-446E-4E27-B8C1-0983E5476AAB}" name="Closing Stock " dataDxfId="1">
      <calculatedColumnFormula>SalesInventory[[#This Row],[Opening stock]]-SUM(SalesInventory[[#This Row],[Qty_sold]])</calculatedColumnFormula>
    </tableColumn>
    <tableColumn id="2" xr3:uid="{D2AECBDA-72E2-436C-B9F9-5B6F5927DCF3}" name="Details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85A05-BCFC-4EF4-8290-086EB3019D65}">
  <sheetPr codeName="Sheet9"/>
  <dimension ref="B1:V25"/>
  <sheetViews>
    <sheetView showGridLines="0" zoomScale="90" zoomScaleNormal="90" workbookViewId="0">
      <selection activeCell="H15" sqref="H15"/>
    </sheetView>
  </sheetViews>
  <sheetFormatPr defaultRowHeight="14.4" x14ac:dyDescent="0.3"/>
  <cols>
    <col min="1" max="1" width="3.77734375" customWidth="1"/>
    <col min="2" max="6" width="15.77734375" style="24" customWidth="1"/>
  </cols>
  <sheetData>
    <row r="1" spans="2:22" s="2" customFormat="1" ht="31.2" x14ac:dyDescent="0.3">
      <c r="B1" s="58" t="s">
        <v>41</v>
      </c>
      <c r="C1" s="58"/>
      <c r="D1" s="58"/>
      <c r="E1" s="58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S1" s="21"/>
      <c r="U1" s="3"/>
      <c r="V1" s="3"/>
    </row>
    <row r="3" spans="2:22" x14ac:dyDescent="0.3">
      <c r="B3" s="24" t="s">
        <v>6</v>
      </c>
      <c r="C3" s="24" t="s">
        <v>32</v>
      </c>
      <c r="D3" s="24" t="s">
        <v>33</v>
      </c>
      <c r="E3" s="24" t="s">
        <v>1</v>
      </c>
      <c r="F3" s="24" t="s">
        <v>34</v>
      </c>
    </row>
    <row r="4" spans="2:22" x14ac:dyDescent="0.3">
      <c r="B4" s="24" t="s">
        <v>61</v>
      </c>
      <c r="C4" s="4">
        <v>45470</v>
      </c>
      <c r="D4" s="26"/>
      <c r="E4" s="22">
        <v>150</v>
      </c>
      <c r="F4" s="22">
        <v>250</v>
      </c>
    </row>
    <row r="5" spans="2:22" x14ac:dyDescent="0.3">
      <c r="B5" s="24" t="s">
        <v>62</v>
      </c>
      <c r="C5" s="4">
        <v>45470</v>
      </c>
      <c r="D5" s="27"/>
      <c r="E5" s="22">
        <v>215</v>
      </c>
      <c r="F5" s="22">
        <v>400</v>
      </c>
    </row>
    <row r="6" spans="2:22" x14ac:dyDescent="0.3">
      <c r="B6" s="24" t="s">
        <v>63</v>
      </c>
      <c r="C6" s="4">
        <v>45470</v>
      </c>
      <c r="D6" s="26"/>
      <c r="E6" s="22">
        <v>215</v>
      </c>
      <c r="F6" s="22">
        <v>350</v>
      </c>
    </row>
    <row r="7" spans="2:22" x14ac:dyDescent="0.3">
      <c r="B7" s="24" t="s">
        <v>64</v>
      </c>
      <c r="C7" s="4">
        <v>45470</v>
      </c>
      <c r="D7" s="28"/>
      <c r="E7" s="22">
        <v>215</v>
      </c>
      <c r="F7" s="22">
        <v>400</v>
      </c>
    </row>
    <row r="8" spans="2:22" x14ac:dyDescent="0.3">
      <c r="C8" s="26"/>
    </row>
    <row r="9" spans="2:22" x14ac:dyDescent="0.3">
      <c r="C9" s="26"/>
      <c r="D9" s="26"/>
    </row>
    <row r="10" spans="2:22" x14ac:dyDescent="0.3">
      <c r="C10" s="26"/>
    </row>
    <row r="11" spans="2:22" x14ac:dyDescent="0.3">
      <c r="C11" s="26"/>
    </row>
    <row r="12" spans="2:22" x14ac:dyDescent="0.3">
      <c r="C12" s="26"/>
      <c r="D12" s="26"/>
    </row>
    <row r="13" spans="2:22" x14ac:dyDescent="0.3">
      <c r="C13" s="26"/>
      <c r="D13" s="26"/>
    </row>
    <row r="14" spans="2:22" x14ac:dyDescent="0.3">
      <c r="C14" s="26"/>
      <c r="D14" s="26"/>
    </row>
    <row r="15" spans="2:22" x14ac:dyDescent="0.3">
      <c r="C15" s="26"/>
      <c r="D15" s="26"/>
    </row>
    <row r="16" spans="2:22" x14ac:dyDescent="0.3">
      <c r="C16" s="26"/>
      <c r="D16" s="26"/>
    </row>
    <row r="17" spans="3:4" x14ac:dyDescent="0.3">
      <c r="C17" s="26"/>
    </row>
    <row r="18" spans="3:4" x14ac:dyDescent="0.3">
      <c r="C18" s="26"/>
    </row>
    <row r="19" spans="3:4" x14ac:dyDescent="0.3">
      <c r="C19" s="26"/>
      <c r="D19" s="26"/>
    </row>
    <row r="20" spans="3:4" x14ac:dyDescent="0.3">
      <c r="C20" s="26"/>
    </row>
    <row r="21" spans="3:4" x14ac:dyDescent="0.3">
      <c r="C21" s="26"/>
      <c r="D21" s="26"/>
    </row>
    <row r="22" spans="3:4" x14ac:dyDescent="0.3">
      <c r="C22" s="26"/>
      <c r="D22" s="26"/>
    </row>
    <row r="23" spans="3:4" x14ac:dyDescent="0.3">
      <c r="C23" s="26"/>
    </row>
    <row r="24" spans="3:4" x14ac:dyDescent="0.3">
      <c r="C24" s="26"/>
      <c r="D24" s="26"/>
    </row>
    <row r="25" spans="3:4" x14ac:dyDescent="0.3">
      <c r="C25" s="26"/>
    </row>
  </sheetData>
  <mergeCells count="1">
    <mergeCell ref="B1:E1"/>
  </mergeCells>
  <dataValidations count="1">
    <dataValidation type="list" allowBlank="1" showInputMessage="1" showErrorMessage="1" sqref="B4:B1048576" xr:uid="{20E86BF4-64CB-4861-895A-79ECCDA8FBC6}">
      <formula1>ProductNames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993BC-36DD-45FD-B863-AC84E04ACD5D}">
  <sheetPr codeName="Sheet8"/>
  <dimension ref="B1:S150"/>
  <sheetViews>
    <sheetView showGridLines="0" tabSelected="1" zoomScale="80" zoomScaleNormal="80" workbookViewId="0">
      <pane ySplit="12" topLeftCell="A55" activePane="bottomLeft" state="frozen"/>
      <selection pane="bottomLeft" activeCell="K64" sqref="K64"/>
    </sheetView>
  </sheetViews>
  <sheetFormatPr defaultRowHeight="14.4" x14ac:dyDescent="0.3"/>
  <cols>
    <col min="1" max="1" width="4" customWidth="1"/>
    <col min="2" max="2" width="14.44140625" style="8" customWidth="1"/>
    <col min="3" max="3" width="10.44140625" bestFit="1" customWidth="1"/>
    <col min="4" max="4" width="9.109375" bestFit="1" customWidth="1"/>
    <col min="5" max="5" width="10" style="5" bestFit="1" customWidth="1"/>
    <col min="6" max="6" width="13.88671875" style="5" bestFit="1" customWidth="1"/>
    <col min="7" max="7" width="10.5546875" style="5" bestFit="1" customWidth="1"/>
    <col min="8" max="8" width="10" style="5" bestFit="1" customWidth="1"/>
    <col min="9" max="11" width="11.5546875" style="5" customWidth="1"/>
    <col min="12" max="12" width="13.5546875" bestFit="1" customWidth="1"/>
    <col min="13" max="13" width="10" style="5" bestFit="1" customWidth="1"/>
    <col min="14" max="14" width="14.6640625" bestFit="1" customWidth="1"/>
    <col min="15" max="15" width="14.109375" bestFit="1" customWidth="1"/>
    <col min="16" max="16" width="28.21875" style="5" customWidth="1"/>
    <col min="17" max="17" width="15" style="5" customWidth="1"/>
    <col min="18" max="18" width="44.33203125" customWidth="1"/>
  </cols>
  <sheetData>
    <row r="1" spans="2:19" s="2" customFormat="1" ht="31.2" x14ac:dyDescent="0.3">
      <c r="B1" s="58" t="s">
        <v>8</v>
      </c>
      <c r="C1" s="58"/>
      <c r="D1" s="58"/>
      <c r="E1" s="58"/>
      <c r="F1" s="3"/>
      <c r="G1" s="3"/>
      <c r="H1" s="3"/>
      <c r="I1" s="3"/>
      <c r="J1" s="3"/>
      <c r="K1" s="3"/>
      <c r="L1" s="3"/>
      <c r="M1" s="3"/>
      <c r="N1" s="3"/>
      <c r="O1" s="3"/>
    </row>
    <row r="2" spans="2:19" s="2" customFormat="1" ht="33.6" customHeight="1" x14ac:dyDescent="0.3">
      <c r="B2" s="20"/>
      <c r="C2" s="20"/>
      <c r="D2" s="20"/>
      <c r="E2" s="20"/>
      <c r="F2" s="3"/>
      <c r="G2" s="3"/>
      <c r="H2" s="3"/>
      <c r="I2" s="3"/>
      <c r="J2" s="3"/>
      <c r="K2" s="3"/>
      <c r="L2" s="3"/>
      <c r="M2" s="3"/>
      <c r="N2" s="3"/>
      <c r="O2" s="3"/>
    </row>
    <row r="3" spans="2:19" ht="31.2" x14ac:dyDescent="0.3">
      <c r="B3" s="6"/>
      <c r="C3" s="7"/>
      <c r="D3" s="7"/>
      <c r="L3" s="5"/>
      <c r="N3" s="5"/>
      <c r="O3" s="5"/>
      <c r="P3"/>
      <c r="Q3"/>
    </row>
    <row r="4" spans="2:19" s="35" customFormat="1" ht="21.6" customHeight="1" x14ac:dyDescent="0.3">
      <c r="B4" s="38"/>
      <c r="C4" s="37"/>
      <c r="D4" s="37"/>
      <c r="E4" s="37"/>
      <c r="F4" s="37"/>
      <c r="G4" s="37"/>
      <c r="H4" s="32"/>
      <c r="I4" s="33"/>
      <c r="J4" s="33"/>
      <c r="K4" s="33"/>
      <c r="L4" s="33"/>
      <c r="M4" s="33"/>
      <c r="N4" s="34"/>
      <c r="O4" s="59"/>
      <c r="P4" s="59"/>
    </row>
    <row r="5" spans="2:19" s="35" customFormat="1" ht="21.6" customHeight="1" x14ac:dyDescent="0.3">
      <c r="B5" s="38" t="s">
        <v>0</v>
      </c>
      <c r="C5" s="37" t="s">
        <v>6</v>
      </c>
      <c r="D5" s="37" t="s">
        <v>3</v>
      </c>
      <c r="E5" s="37" t="s">
        <v>7</v>
      </c>
      <c r="F5" s="37" t="s">
        <v>13</v>
      </c>
      <c r="G5" s="37" t="s">
        <v>5</v>
      </c>
      <c r="H5" s="32"/>
      <c r="I5" s="33"/>
      <c r="J5" s="33"/>
      <c r="K5" s="33"/>
      <c r="L5" s="33"/>
      <c r="M5" s="33"/>
    </row>
    <row r="6" spans="2:19" s="25" customFormat="1" ht="21.6" customHeight="1" thickBot="1" x14ac:dyDescent="0.35">
      <c r="B6" s="39"/>
      <c r="C6" s="40"/>
      <c r="D6" s="40"/>
      <c r="E6" s="41"/>
      <c r="F6" s="41"/>
      <c r="G6" s="41"/>
      <c r="H6" s="42"/>
      <c r="I6" s="42"/>
      <c r="J6" s="42"/>
      <c r="K6" s="42"/>
      <c r="L6" s="42"/>
      <c r="M6" s="42"/>
      <c r="N6" s="42"/>
      <c r="O6" s="42"/>
      <c r="P6" s="43"/>
    </row>
    <row r="7" spans="2:19" ht="18" customHeight="1" x14ac:dyDescent="0.3">
      <c r="L7" s="5"/>
      <c r="N7" s="5"/>
      <c r="O7" s="5"/>
      <c r="P7" s="36"/>
      <c r="Q7"/>
    </row>
    <row r="8" spans="2:19" ht="16.2" thickBot="1" x14ac:dyDescent="0.35">
      <c r="B8" s="1"/>
      <c r="C8" s="23"/>
      <c r="D8" s="18"/>
      <c r="L8" s="5"/>
      <c r="N8" s="5"/>
      <c r="O8" s="5"/>
      <c r="P8"/>
      <c r="Q8"/>
    </row>
    <row r="9" spans="2:19" s="8" customFormat="1" x14ac:dyDescent="0.3">
      <c r="B9" s="8" t="s">
        <v>0</v>
      </c>
      <c r="C9" s="8" t="s">
        <v>6</v>
      </c>
      <c r="D9" s="44" t="s">
        <v>3</v>
      </c>
      <c r="E9" s="44" t="s">
        <v>7</v>
      </c>
      <c r="F9" s="44" t="s">
        <v>10</v>
      </c>
      <c r="G9" s="44" t="s">
        <v>5</v>
      </c>
      <c r="H9" s="44" t="s">
        <v>12</v>
      </c>
      <c r="I9" s="44" t="s">
        <v>11</v>
      </c>
      <c r="J9" s="44" t="s">
        <v>37</v>
      </c>
      <c r="K9" s="44" t="s">
        <v>36</v>
      </c>
      <c r="L9" s="45" t="s">
        <v>35</v>
      </c>
      <c r="M9" s="44" t="s">
        <v>2</v>
      </c>
      <c r="N9" s="45" t="s">
        <v>9</v>
      </c>
      <c r="O9" s="45" t="s">
        <v>4</v>
      </c>
      <c r="P9" s="8" t="s">
        <v>28</v>
      </c>
      <c r="S9"/>
    </row>
    <row r="10" spans="2:19" x14ac:dyDescent="0.3">
      <c r="B10" s="4">
        <v>45470</v>
      </c>
      <c r="C10" s="46" t="s">
        <v>61</v>
      </c>
      <c r="D10" s="5">
        <v>61</v>
      </c>
      <c r="E10" s="5">
        <v>5</v>
      </c>
      <c r="F10" s="5">
        <v>1750</v>
      </c>
      <c r="G10" s="5">
        <v>1150</v>
      </c>
      <c r="H10" s="5">
        <f>COUNTIF(SalesInventory[Product], SalesInventory[[#This Row],[Product]])</f>
        <v>19</v>
      </c>
      <c r="I10" s="47">
        <f>COUNTIF(INDEX(SalesInventory[Product],1):SalesInventory[[#This Row],[Product]],SalesInventory[[#This Row],[Product]])</f>
        <v>1</v>
      </c>
      <c r="J10" s="47" cm="1">
        <f t="array" ref="J10">INDEX(PriceHistory[Buying Price], MATCH(1, (PriceHistory[Product]=C10)*(B10&gt;=PriceHistory[Start Date])*((B10&lt;=PriceHistory[End Date])+(PriceHistory[End Date]="")), 0))</f>
        <v>150</v>
      </c>
      <c r="K10" s="47" cm="1">
        <f t="array" ref="K10">INDEX(PriceHistory[Selling Price], MATCH(1, (PriceHistory[Product]=C10)*(B10&gt;=PriceHistory[Start Date])*((B10&lt;=PriceHistory[End Date])+(PriceHistory[End Date]="")), 0))</f>
        <v>250</v>
      </c>
      <c r="L10" s="5">
        <f>SUM((SalesInventory[[#This Row],[Qty_sold]]*SalesInventory[[#This Row],[crrntBP]]), SalesInventory[[#This Row],[Transport]])</f>
        <v>1900</v>
      </c>
      <c r="M10" s="5">
        <f>SalesInventory[[#This Row],[SalesAmount]] - SalesInventory[[#This Row],[Total Cost]]</f>
        <v>-150</v>
      </c>
      <c r="N10" s="5" cm="1">
        <f t="array" ref="N10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61</v>
      </c>
      <c r="O10" s="5">
        <f>SalesInventory[[#This Row],[Opening stock]]-SUM(SalesInventory[[#This Row],[Qty_sold]])</f>
        <v>56</v>
      </c>
      <c r="Q10"/>
    </row>
    <row r="11" spans="2:19" x14ac:dyDescent="0.3">
      <c r="B11" s="4">
        <v>45473</v>
      </c>
      <c r="C11" t="s">
        <v>61</v>
      </c>
      <c r="D11" s="5">
        <v>0</v>
      </c>
      <c r="E11" s="5">
        <v>8</v>
      </c>
      <c r="F11" s="5">
        <v>2800</v>
      </c>
      <c r="G11" s="5">
        <v>0</v>
      </c>
      <c r="H11" s="5">
        <f>COUNTIF(SalesInventory[Product], SalesInventory[[#This Row],[Product]])</f>
        <v>19</v>
      </c>
      <c r="I11" s="47">
        <f>COUNTIF(INDEX(SalesInventory[Product],1):SalesInventory[[#This Row],[Product]],SalesInventory[[#This Row],[Product]])</f>
        <v>2</v>
      </c>
      <c r="J11" s="47" cm="1">
        <f t="array" ref="J11">INDEX(PriceHistory[Buying Price], MATCH(1, (PriceHistory[Product]=C11)*(B11&gt;=PriceHistory[Start Date])*((B11&lt;=PriceHistory[End Date])+(PriceHistory[End Date]="")), 0))</f>
        <v>150</v>
      </c>
      <c r="K11" s="47" cm="1">
        <f t="array" ref="K11">INDEX(PriceHistory[Selling Price], MATCH(1, (PriceHistory[Product]=C11)*(B11&gt;=PriceHistory[Start Date])*((B11&lt;=PriceHistory[End Date])+(PriceHistory[End Date]="")), 0))</f>
        <v>250</v>
      </c>
      <c r="L11" s="5">
        <f>SUM((SalesInventory[[#This Row],[Qty_sold]]*SalesInventory[[#This Row],[crrntBP]]), SalesInventory[[#This Row],[Transport]])</f>
        <v>1200</v>
      </c>
      <c r="M11" s="5">
        <f>SalesInventory[[#This Row],[SalesAmount]] - SalesInventory[[#This Row],[Total Cost]]</f>
        <v>1600</v>
      </c>
      <c r="N11" s="5" cm="1">
        <f t="array" ref="N11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56</v>
      </c>
      <c r="O11" s="5">
        <f>SalesInventory[[#This Row],[Opening stock]]-SUM(SalesInventory[[#This Row],[Qty_sold]])</f>
        <v>48</v>
      </c>
      <c r="Q11"/>
    </row>
    <row r="12" spans="2:19" x14ac:dyDescent="0.3">
      <c r="B12" s="4">
        <v>45474</v>
      </c>
      <c r="C12" t="s">
        <v>61</v>
      </c>
      <c r="D12" s="5">
        <v>0</v>
      </c>
      <c r="E12" s="5">
        <v>7</v>
      </c>
      <c r="F12" s="5">
        <v>2250</v>
      </c>
      <c r="G12" s="5">
        <v>0</v>
      </c>
      <c r="H12" s="5">
        <f>COUNTIF(SalesInventory[Product], SalesInventory[[#This Row],[Product]])</f>
        <v>19</v>
      </c>
      <c r="I12" s="47">
        <f>COUNTIF(INDEX(SalesInventory[Product],1):SalesInventory[[#This Row],[Product]],SalesInventory[[#This Row],[Product]])</f>
        <v>3</v>
      </c>
      <c r="J12" s="47" cm="1">
        <f t="array" ref="J12">INDEX(PriceHistory[Buying Price], MATCH(1, (PriceHistory[Product]=C12)*(B12&gt;=PriceHistory[Start Date])*((B12&lt;=PriceHistory[End Date])+(PriceHistory[End Date]="")), 0))</f>
        <v>150</v>
      </c>
      <c r="K12" s="47" cm="1">
        <f t="array" ref="K12">INDEX(PriceHistory[Selling Price], MATCH(1, (PriceHistory[Product]=C12)*(B12&gt;=PriceHistory[Start Date])*((B12&lt;=PriceHistory[End Date])+(PriceHistory[End Date]="")), 0))</f>
        <v>250</v>
      </c>
      <c r="L12" s="5">
        <f>SUM((SalesInventory[[#This Row],[Qty_sold]]*SalesInventory[[#This Row],[crrntBP]]), SalesInventory[[#This Row],[Transport]])</f>
        <v>1050</v>
      </c>
      <c r="M12" s="5">
        <f>SalesInventory[[#This Row],[SalesAmount]] - SalesInventory[[#This Row],[Total Cost]]</f>
        <v>1200</v>
      </c>
      <c r="N12" s="5" cm="1">
        <f t="array" ref="N12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48</v>
      </c>
      <c r="O12" s="5">
        <f>SalesInventory[[#This Row],[Opening stock]]-SUM(SalesInventory[[#This Row],[Qty_sold]])</f>
        <v>41</v>
      </c>
      <c r="Q12"/>
    </row>
    <row r="13" spans="2:19" x14ac:dyDescent="0.3">
      <c r="B13" s="4">
        <v>45475</v>
      </c>
      <c r="C13" t="s">
        <v>61</v>
      </c>
      <c r="D13" s="5">
        <v>0</v>
      </c>
      <c r="E13" s="5">
        <v>2</v>
      </c>
      <c r="F13" s="5">
        <v>650</v>
      </c>
      <c r="G13" s="5">
        <v>0</v>
      </c>
      <c r="H13" s="5">
        <f>COUNTIF(SalesInventory[Product], SalesInventory[[#This Row],[Product]])</f>
        <v>19</v>
      </c>
      <c r="I13" s="47">
        <f>COUNTIF(INDEX(SalesInventory[Product],1):SalesInventory[[#This Row],[Product]],SalesInventory[[#This Row],[Product]])</f>
        <v>4</v>
      </c>
      <c r="J13" s="47" cm="1">
        <f t="array" ref="J13">INDEX(PriceHistory[Buying Price], MATCH(1, (PriceHistory[Product]=C13)*(B13&gt;=PriceHistory[Start Date])*((B13&lt;=PriceHistory[End Date])+(PriceHistory[End Date]="")), 0))</f>
        <v>150</v>
      </c>
      <c r="K13" s="47" cm="1">
        <f t="array" ref="K13">INDEX(PriceHistory[Selling Price], MATCH(1, (PriceHistory[Product]=C13)*(B13&gt;=PriceHistory[Start Date])*((B13&lt;=PriceHistory[End Date])+(PriceHistory[End Date]="")), 0))</f>
        <v>250</v>
      </c>
      <c r="L13" s="5">
        <f>SUM((SalesInventory[[#This Row],[Qty_sold]]*SalesInventory[[#This Row],[crrntBP]]), SalesInventory[[#This Row],[Transport]])</f>
        <v>300</v>
      </c>
      <c r="M13" s="5">
        <f>SalesInventory[[#This Row],[SalesAmount]] - SalesInventory[[#This Row],[Total Cost]]</f>
        <v>350</v>
      </c>
      <c r="N13" s="5" cm="1">
        <f t="array" ref="N13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41</v>
      </c>
      <c r="O13" s="5">
        <f>SalesInventory[[#This Row],[Opening stock]]-SUM(SalesInventory[[#This Row],[Qty_sold]])</f>
        <v>39</v>
      </c>
      <c r="Q13"/>
    </row>
    <row r="14" spans="2:19" x14ac:dyDescent="0.3">
      <c r="B14" s="4">
        <v>45478</v>
      </c>
      <c r="C14" t="s">
        <v>61</v>
      </c>
      <c r="D14" s="5">
        <v>0</v>
      </c>
      <c r="E14" s="5">
        <v>3</v>
      </c>
      <c r="F14" s="5">
        <v>900</v>
      </c>
      <c r="G14" s="5">
        <v>0</v>
      </c>
      <c r="H14" s="5">
        <f>COUNTIF(SalesInventory[Product], SalesInventory[[#This Row],[Product]])</f>
        <v>19</v>
      </c>
      <c r="I14" s="47">
        <f>COUNTIF(INDEX(SalesInventory[Product],1):SalesInventory[[#This Row],[Product]],SalesInventory[[#This Row],[Product]])</f>
        <v>5</v>
      </c>
      <c r="J14" s="47" cm="1">
        <f t="array" ref="J14">INDEX(PriceHistory[Buying Price], MATCH(1, (PriceHistory[Product]=C14)*(B14&gt;=PriceHistory[Start Date])*((B14&lt;=PriceHistory[End Date])+(PriceHistory[End Date]="")), 0))</f>
        <v>150</v>
      </c>
      <c r="K14" s="47" cm="1">
        <f t="array" ref="K14">INDEX(PriceHistory[Selling Price], MATCH(1, (PriceHistory[Product]=C14)*(B14&gt;=PriceHistory[Start Date])*((B14&lt;=PriceHistory[End Date])+(PriceHistory[End Date]="")), 0))</f>
        <v>250</v>
      </c>
      <c r="L14" s="5">
        <f>SUM((SalesInventory[[#This Row],[Qty_sold]]*SalesInventory[[#This Row],[crrntBP]]), SalesInventory[[#This Row],[Transport]])</f>
        <v>450</v>
      </c>
      <c r="M14" s="5">
        <f>SalesInventory[[#This Row],[SalesAmount]] - SalesInventory[[#This Row],[Total Cost]]</f>
        <v>450</v>
      </c>
      <c r="N14" s="5" cm="1">
        <f t="array" ref="N14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39</v>
      </c>
      <c r="O14" s="5">
        <f>SalesInventory[[#This Row],[Opening stock]]-SUM(SalesInventory[[#This Row],[Qty_sold]])</f>
        <v>36</v>
      </c>
      <c r="Q14"/>
    </row>
    <row r="15" spans="2:19" x14ac:dyDescent="0.3">
      <c r="B15" s="4">
        <v>45483</v>
      </c>
      <c r="C15" t="s">
        <v>61</v>
      </c>
      <c r="D15" s="5">
        <v>0</v>
      </c>
      <c r="E15" s="5">
        <v>1</v>
      </c>
      <c r="F15" s="5">
        <v>350</v>
      </c>
      <c r="G15" s="5">
        <v>0</v>
      </c>
      <c r="H15" s="5">
        <f>COUNTIF(SalesInventory[Product], SalesInventory[[#This Row],[Product]])</f>
        <v>19</v>
      </c>
      <c r="I15" s="47">
        <f>COUNTIF(INDEX(SalesInventory[Product],1):SalesInventory[[#This Row],[Product]],SalesInventory[[#This Row],[Product]])</f>
        <v>6</v>
      </c>
      <c r="J15" s="47" cm="1">
        <f t="array" ref="J15">INDEX(PriceHistory[Buying Price], MATCH(1, (PriceHistory[Product]=C15)*(B15&gt;=PriceHistory[Start Date])*((B15&lt;=PriceHistory[End Date])+(PriceHistory[End Date]="")), 0))</f>
        <v>150</v>
      </c>
      <c r="K15" s="47" cm="1">
        <f t="array" ref="K15">INDEX(PriceHistory[Selling Price], MATCH(1, (PriceHistory[Product]=C15)*(B15&gt;=PriceHistory[Start Date])*((B15&lt;=PriceHistory[End Date])+(PriceHistory[End Date]="")), 0))</f>
        <v>250</v>
      </c>
      <c r="L15" s="5">
        <f>SUM((SalesInventory[[#This Row],[Qty_sold]]*SalesInventory[[#This Row],[crrntBP]]), SalesInventory[[#This Row],[Transport]])</f>
        <v>150</v>
      </c>
      <c r="M15" s="5">
        <f>SalesInventory[[#This Row],[SalesAmount]] - SalesInventory[[#This Row],[Total Cost]]</f>
        <v>200</v>
      </c>
      <c r="N15" s="5" cm="1">
        <f t="array" ref="N15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36</v>
      </c>
      <c r="O15" s="5">
        <f>SalesInventory[[#This Row],[Opening stock]]-SUM(SalesInventory[[#This Row],[Qty_sold]])</f>
        <v>35</v>
      </c>
      <c r="Q15"/>
    </row>
    <row r="16" spans="2:19" x14ac:dyDescent="0.3">
      <c r="B16" s="4">
        <v>45494</v>
      </c>
      <c r="C16" t="s">
        <v>61</v>
      </c>
      <c r="D16" s="5">
        <v>0</v>
      </c>
      <c r="E16" s="5">
        <v>2</v>
      </c>
      <c r="F16" s="5">
        <v>600</v>
      </c>
      <c r="G16" s="5">
        <v>0</v>
      </c>
      <c r="H16" s="5">
        <f>COUNTIF(SalesInventory[Product], SalesInventory[[#This Row],[Product]])</f>
        <v>19</v>
      </c>
      <c r="I16" s="47">
        <f>COUNTIF(INDEX(SalesInventory[Product],1):SalesInventory[[#This Row],[Product]],SalesInventory[[#This Row],[Product]])</f>
        <v>7</v>
      </c>
      <c r="J16" s="47" cm="1">
        <f t="array" ref="J16">INDEX(PriceHistory[Buying Price], MATCH(1, (PriceHistory[Product]=C16)*(B16&gt;=PriceHistory[Start Date])*((B16&lt;=PriceHistory[End Date])+(PriceHistory[End Date]="")), 0))</f>
        <v>150</v>
      </c>
      <c r="K16" s="47" cm="1">
        <f t="array" ref="K16">INDEX(PriceHistory[Selling Price], MATCH(1, (PriceHistory[Product]=C16)*(B16&gt;=PriceHistory[Start Date])*((B16&lt;=PriceHistory[End Date])+(PriceHistory[End Date]="")), 0))</f>
        <v>250</v>
      </c>
      <c r="L16" s="5">
        <f>SUM((SalesInventory[[#This Row],[Qty_sold]]*SalesInventory[[#This Row],[crrntBP]]), SalesInventory[[#This Row],[Transport]])</f>
        <v>300</v>
      </c>
      <c r="M16" s="5">
        <f>SalesInventory[[#This Row],[SalesAmount]] - SalesInventory[[#This Row],[Total Cost]]</f>
        <v>300</v>
      </c>
      <c r="N16" s="5" cm="1">
        <f t="array" ref="N16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35</v>
      </c>
      <c r="O16" s="5">
        <f>SalesInventory[[#This Row],[Opening stock]]-SUM(SalesInventory[[#This Row],[Qty_sold]])</f>
        <v>33</v>
      </c>
      <c r="Q16"/>
    </row>
    <row r="17" spans="2:17" x14ac:dyDescent="0.3">
      <c r="B17" s="4">
        <v>45500</v>
      </c>
      <c r="C17" t="s">
        <v>61</v>
      </c>
      <c r="D17" s="5">
        <v>0</v>
      </c>
      <c r="E17" s="5">
        <v>3</v>
      </c>
      <c r="F17" s="5">
        <v>900</v>
      </c>
      <c r="G17" s="5">
        <v>0</v>
      </c>
      <c r="H17" s="5">
        <f>COUNTIF(SalesInventory[Product], SalesInventory[[#This Row],[Product]])</f>
        <v>19</v>
      </c>
      <c r="I17" s="47">
        <f>COUNTIF(INDEX(SalesInventory[Product],1):SalesInventory[[#This Row],[Product]],SalesInventory[[#This Row],[Product]])</f>
        <v>8</v>
      </c>
      <c r="J17" s="47" cm="1">
        <f t="array" ref="J17">INDEX(PriceHistory[Buying Price], MATCH(1, (PriceHistory[Product]=C17)*(B17&gt;=PriceHistory[Start Date])*((B17&lt;=PriceHistory[End Date])+(PriceHistory[End Date]="")), 0))</f>
        <v>150</v>
      </c>
      <c r="K17" s="47" cm="1">
        <f t="array" ref="K17">INDEX(PriceHistory[Selling Price], MATCH(1, (PriceHistory[Product]=C17)*(B17&gt;=PriceHistory[Start Date])*((B17&lt;=PriceHistory[End Date])+(PriceHistory[End Date]="")), 0))</f>
        <v>250</v>
      </c>
      <c r="L17" s="5">
        <f>SUM((SalesInventory[[#This Row],[Qty_sold]]*SalesInventory[[#This Row],[crrntBP]]), SalesInventory[[#This Row],[Transport]])</f>
        <v>450</v>
      </c>
      <c r="M17" s="5">
        <f>SalesInventory[[#This Row],[SalesAmount]] - SalesInventory[[#This Row],[Total Cost]]</f>
        <v>450</v>
      </c>
      <c r="N17" s="5" cm="1">
        <f t="array" ref="N17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33</v>
      </c>
      <c r="O17" s="5">
        <f>SalesInventory[[#This Row],[Opening stock]]-SUM(SalesInventory[[#This Row],[Qty_sold]])</f>
        <v>30</v>
      </c>
      <c r="Q17"/>
    </row>
    <row r="18" spans="2:17" x14ac:dyDescent="0.3">
      <c r="B18" s="4">
        <v>45502</v>
      </c>
      <c r="C18" t="s">
        <v>61</v>
      </c>
      <c r="D18" s="5">
        <v>0</v>
      </c>
      <c r="E18" s="5">
        <v>3</v>
      </c>
      <c r="F18" s="5">
        <v>900</v>
      </c>
      <c r="G18" s="5">
        <v>0</v>
      </c>
      <c r="H18" s="5">
        <f>COUNTIF(SalesInventory[Product], SalesInventory[[#This Row],[Product]])</f>
        <v>19</v>
      </c>
      <c r="I18" s="47">
        <f>COUNTIF(INDEX(SalesInventory[Product],1):SalesInventory[[#This Row],[Product]],SalesInventory[[#This Row],[Product]])</f>
        <v>9</v>
      </c>
      <c r="J18" s="47" cm="1">
        <f t="array" ref="J18">INDEX(PriceHistory[Buying Price], MATCH(1, (PriceHistory[Product]=C18)*(B18&gt;=PriceHistory[Start Date])*((B18&lt;=PriceHistory[End Date])+(PriceHistory[End Date]="")), 0))</f>
        <v>150</v>
      </c>
      <c r="K18" s="47" cm="1">
        <f t="array" ref="K18">INDEX(PriceHistory[Selling Price], MATCH(1, (PriceHistory[Product]=C18)*(B18&gt;=PriceHistory[Start Date])*((B18&lt;=PriceHistory[End Date])+(PriceHistory[End Date]="")), 0))</f>
        <v>250</v>
      </c>
      <c r="L18" s="5">
        <f>SUM((SalesInventory[[#This Row],[Qty_sold]]*SalesInventory[[#This Row],[crrntBP]]), SalesInventory[[#This Row],[Transport]])</f>
        <v>450</v>
      </c>
      <c r="M18" s="5">
        <f>SalesInventory[[#This Row],[SalesAmount]] - SalesInventory[[#This Row],[Total Cost]]</f>
        <v>450</v>
      </c>
      <c r="N18" s="5" cm="1">
        <f t="array" ref="N18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30</v>
      </c>
      <c r="O18" s="5">
        <f>SalesInventory[[#This Row],[Opening stock]]-SUM(SalesInventory[[#This Row],[Qty_sold]])</f>
        <v>27</v>
      </c>
      <c r="Q18"/>
    </row>
    <row r="19" spans="2:17" x14ac:dyDescent="0.3">
      <c r="B19" s="4">
        <v>45609</v>
      </c>
      <c r="C19" t="s">
        <v>62</v>
      </c>
      <c r="D19" s="5">
        <v>28</v>
      </c>
      <c r="E19" s="5">
        <v>4</v>
      </c>
      <c r="F19" s="5">
        <v>1700</v>
      </c>
      <c r="G19" s="5">
        <v>1560</v>
      </c>
      <c r="H19" s="5">
        <f>COUNTIF(SalesInventory[Product], SalesInventory[[#This Row],[Product]])</f>
        <v>12</v>
      </c>
      <c r="I19" s="47">
        <f>COUNTIF(INDEX(SalesInventory[Product],1):SalesInventory[[#This Row],[Product]],SalesInventory[[#This Row],[Product]])</f>
        <v>1</v>
      </c>
      <c r="J19" s="47" cm="1">
        <f t="array" ref="J19">INDEX(PriceHistory[Buying Price], MATCH(1, (PriceHistory[Product]=C19)*(B19&gt;=PriceHistory[Start Date])*((B19&lt;=PriceHistory[End Date])+(PriceHistory[End Date]="")), 0))</f>
        <v>215</v>
      </c>
      <c r="K19" s="47" cm="1">
        <f t="array" ref="K19">INDEX(PriceHistory[Selling Price], MATCH(1, (PriceHistory[Product]=C19)*(B19&gt;=PriceHistory[Start Date])*((B19&lt;=PriceHistory[End Date])+(PriceHistory[End Date]="")), 0))</f>
        <v>400</v>
      </c>
      <c r="L19" s="5">
        <f>SUM((SalesInventory[[#This Row],[Qty_sold]]*SalesInventory[[#This Row],[crrntBP]]), SalesInventory[[#This Row],[Transport]])</f>
        <v>2420</v>
      </c>
      <c r="M19" s="5">
        <f>SalesInventory[[#This Row],[SalesAmount]] - SalesInventory[[#This Row],[Total Cost]]</f>
        <v>-720</v>
      </c>
      <c r="N19" s="5" cm="1">
        <f t="array" ref="N19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28</v>
      </c>
      <c r="O19" s="5">
        <f>SalesInventory[[#This Row],[Opening stock]]-SUM(SalesInventory[[#This Row],[Qty_sold]])</f>
        <v>24</v>
      </c>
      <c r="Q19"/>
    </row>
    <row r="20" spans="2:17" x14ac:dyDescent="0.3">
      <c r="B20" s="4">
        <v>45609</v>
      </c>
      <c r="C20" t="s">
        <v>63</v>
      </c>
      <c r="D20" s="5">
        <v>15</v>
      </c>
      <c r="E20" s="5">
        <v>1</v>
      </c>
      <c r="F20" s="5">
        <v>500</v>
      </c>
      <c r="H20" s="5">
        <f>COUNTIF(SalesInventory[Product], SalesInventory[[#This Row],[Product]])</f>
        <v>16</v>
      </c>
      <c r="I20" s="47">
        <f>COUNTIF(INDEX(SalesInventory[Product],1):SalesInventory[[#This Row],[Product]],SalesInventory[[#This Row],[Product]])</f>
        <v>1</v>
      </c>
      <c r="J20" s="47" cm="1">
        <f t="array" ref="J20">INDEX(PriceHistory[Buying Price], MATCH(1, (PriceHistory[Product]=C20)*(B20&gt;=PriceHistory[Start Date])*((B20&lt;=PriceHistory[End Date])+(PriceHistory[End Date]="")), 0))</f>
        <v>215</v>
      </c>
      <c r="K20" s="47" cm="1">
        <f t="array" ref="K20">INDEX(PriceHistory[Selling Price], MATCH(1, (PriceHistory[Product]=C20)*(B20&gt;=PriceHistory[Start Date])*((B20&lt;=PriceHistory[End Date])+(PriceHistory[End Date]="")), 0))</f>
        <v>350</v>
      </c>
      <c r="L20" s="5">
        <f>SUM((SalesInventory[[#This Row],[Qty_sold]]*SalesInventory[[#This Row],[crrntBP]]), SalesInventory[[#This Row],[Transport]])</f>
        <v>215</v>
      </c>
      <c r="M20" s="5">
        <f>SalesInventory[[#This Row],[SalesAmount]] - SalesInventory[[#This Row],[Total Cost]]</f>
        <v>285</v>
      </c>
      <c r="N20" s="5" cm="1">
        <f t="array" ref="N20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15</v>
      </c>
      <c r="O20" s="5">
        <f>SalesInventory[[#This Row],[Opening stock]]-SUM(SalesInventory[[#This Row],[Qty_sold]])</f>
        <v>14</v>
      </c>
      <c r="Q20"/>
    </row>
    <row r="21" spans="2:17" x14ac:dyDescent="0.3">
      <c r="B21" s="4">
        <v>45609</v>
      </c>
      <c r="C21" t="s">
        <v>64</v>
      </c>
      <c r="D21" s="5">
        <v>5</v>
      </c>
      <c r="E21" s="5">
        <v>1</v>
      </c>
      <c r="F21" s="5">
        <v>300</v>
      </c>
      <c r="H21" s="5">
        <f>COUNTIF(SalesInventory[Product], SalesInventory[[#This Row],[Product]])</f>
        <v>4</v>
      </c>
      <c r="I21" s="47">
        <f>COUNTIF(INDEX(SalesInventory[Product],1):SalesInventory[[#This Row],[Product]],SalesInventory[[#This Row],[Product]])</f>
        <v>1</v>
      </c>
      <c r="J21" s="47" cm="1">
        <f t="array" ref="J21">INDEX(PriceHistory[Buying Price], MATCH(1, (PriceHistory[Product]=C21)*(B21&gt;=PriceHistory[Start Date])*((B21&lt;=PriceHistory[End Date])+(PriceHistory[End Date]="")), 0))</f>
        <v>215</v>
      </c>
      <c r="K21" s="47" cm="1">
        <f t="array" ref="K21">INDEX(PriceHistory[Selling Price], MATCH(1, (PriceHistory[Product]=C21)*(B21&gt;=PriceHistory[Start Date])*((B21&lt;=PriceHistory[End Date])+(PriceHistory[End Date]="")), 0))</f>
        <v>400</v>
      </c>
      <c r="L21" s="5">
        <f>SUM((SalesInventory[[#This Row],[Qty_sold]]*SalesInventory[[#This Row],[crrntBP]]), SalesInventory[[#This Row],[Transport]])</f>
        <v>215</v>
      </c>
      <c r="M21" s="5">
        <f>SalesInventory[[#This Row],[SalesAmount]] - SalesInventory[[#This Row],[Total Cost]]</f>
        <v>85</v>
      </c>
      <c r="N21" s="5" cm="1">
        <f t="array" ref="N21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5</v>
      </c>
      <c r="O21" s="5">
        <f>SalesInventory[[#This Row],[Opening stock]]-SUM(SalesInventory[[#This Row],[Qty_sold]])</f>
        <v>4</v>
      </c>
      <c r="Q21"/>
    </row>
    <row r="22" spans="2:17" x14ac:dyDescent="0.3">
      <c r="B22" s="4">
        <v>45610</v>
      </c>
      <c r="C22" t="s">
        <v>63</v>
      </c>
      <c r="D22" s="5"/>
      <c r="E22" s="5">
        <v>1</v>
      </c>
      <c r="F22" s="5">
        <v>350</v>
      </c>
      <c r="H22" s="5">
        <f>COUNTIF(SalesInventory[Product], SalesInventory[[#This Row],[Product]])</f>
        <v>16</v>
      </c>
      <c r="I22" s="47">
        <f>COUNTIF(INDEX(SalesInventory[Product],1):SalesInventory[[#This Row],[Product]],SalesInventory[[#This Row],[Product]])</f>
        <v>2</v>
      </c>
      <c r="J22" s="47" cm="1">
        <f t="array" ref="J22">INDEX(PriceHistory[Buying Price], MATCH(1, (PriceHistory[Product]=C22)*(B22&gt;=PriceHistory[Start Date])*((B22&lt;=PriceHistory[End Date])+(PriceHistory[End Date]="")), 0))</f>
        <v>215</v>
      </c>
      <c r="K22" s="47" cm="1">
        <f t="array" ref="K22">INDEX(PriceHistory[Selling Price], MATCH(1, (PriceHistory[Product]=C22)*(B22&gt;=PriceHistory[Start Date])*((B22&lt;=PriceHistory[End Date])+(PriceHistory[End Date]="")), 0))</f>
        <v>350</v>
      </c>
      <c r="L22" s="5">
        <f>SUM((SalesInventory[[#This Row],[Qty_sold]]*SalesInventory[[#This Row],[crrntBP]]), SalesInventory[[#This Row],[Transport]])</f>
        <v>215</v>
      </c>
      <c r="M22" s="5">
        <f>SalesInventory[[#This Row],[SalesAmount]] - SalesInventory[[#This Row],[Total Cost]]</f>
        <v>135</v>
      </c>
      <c r="N22" s="5" cm="1">
        <f t="array" ref="N22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14</v>
      </c>
      <c r="O22" s="5">
        <f>SalesInventory[[#This Row],[Opening stock]]-SUM(SalesInventory[[#This Row],[Qty_sold]])</f>
        <v>13</v>
      </c>
      <c r="Q22"/>
    </row>
    <row r="23" spans="2:17" x14ac:dyDescent="0.3">
      <c r="B23" s="4">
        <v>45613</v>
      </c>
      <c r="C23" t="s">
        <v>61</v>
      </c>
      <c r="D23" s="5"/>
      <c r="E23" s="5">
        <v>1</v>
      </c>
      <c r="F23" s="5">
        <v>250</v>
      </c>
      <c r="H23" s="5">
        <f>COUNTIF(SalesInventory[Product], SalesInventory[[#This Row],[Product]])</f>
        <v>19</v>
      </c>
      <c r="I23" s="47">
        <f>COUNTIF(INDEX(SalesInventory[Product],1):SalesInventory[[#This Row],[Product]],SalesInventory[[#This Row],[Product]])</f>
        <v>10</v>
      </c>
      <c r="J23" s="47" cm="1">
        <f t="array" ref="J23">INDEX(PriceHistory[Buying Price], MATCH(1, (PriceHistory[Product]=C23)*(B23&gt;=PriceHistory[Start Date])*((B23&lt;=PriceHistory[End Date])+(PriceHistory[End Date]="")), 0))</f>
        <v>150</v>
      </c>
      <c r="K23" s="47" cm="1">
        <f t="array" ref="K23">INDEX(PriceHistory[Selling Price], MATCH(1, (PriceHistory[Product]=C23)*(B23&gt;=PriceHistory[Start Date])*((B23&lt;=PriceHistory[End Date])+(PriceHistory[End Date]="")), 0))</f>
        <v>250</v>
      </c>
      <c r="L23" s="5">
        <f>SUM((SalesInventory[[#This Row],[Qty_sold]]*SalesInventory[[#This Row],[crrntBP]]), SalesInventory[[#This Row],[Transport]])</f>
        <v>150</v>
      </c>
      <c r="M23" s="5">
        <f>SalesInventory[[#This Row],[SalesAmount]] - SalesInventory[[#This Row],[Total Cost]]</f>
        <v>100</v>
      </c>
      <c r="N23" s="5" cm="1">
        <f t="array" ref="N23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27</v>
      </c>
      <c r="O23" s="5">
        <f>SalesInventory[[#This Row],[Opening stock]]-SUM(SalesInventory[[#This Row],[Qty_sold]])</f>
        <v>26</v>
      </c>
      <c r="Q23"/>
    </row>
    <row r="24" spans="2:17" x14ac:dyDescent="0.3">
      <c r="B24" s="4">
        <v>45613</v>
      </c>
      <c r="C24" t="s">
        <v>62</v>
      </c>
      <c r="D24" s="5"/>
      <c r="E24" s="5">
        <v>3</v>
      </c>
      <c r="F24" s="5">
        <v>1100</v>
      </c>
      <c r="H24" s="5">
        <f>COUNTIF(SalesInventory[Product], SalesInventory[[#This Row],[Product]])</f>
        <v>12</v>
      </c>
      <c r="I24" s="47">
        <f>COUNTIF(INDEX(SalesInventory[Product],1):SalesInventory[[#This Row],[Product]],SalesInventory[[#This Row],[Product]])</f>
        <v>2</v>
      </c>
      <c r="J24" s="47" cm="1">
        <f t="array" ref="J24">INDEX(PriceHistory[Buying Price], MATCH(1, (PriceHistory[Product]=C24)*(B24&gt;=PriceHistory[Start Date])*((B24&lt;=PriceHistory[End Date])+(PriceHistory[End Date]="")), 0))</f>
        <v>215</v>
      </c>
      <c r="K24" s="47" cm="1">
        <f t="array" ref="K24">INDEX(PriceHistory[Selling Price], MATCH(1, (PriceHistory[Product]=C24)*(B24&gt;=PriceHistory[Start Date])*((B24&lt;=PriceHistory[End Date])+(PriceHistory[End Date]="")), 0))</f>
        <v>400</v>
      </c>
      <c r="L24" s="5">
        <f>SUM((SalesInventory[[#This Row],[Qty_sold]]*SalesInventory[[#This Row],[crrntBP]]), SalesInventory[[#This Row],[Transport]])</f>
        <v>645</v>
      </c>
      <c r="M24" s="5">
        <f>SalesInventory[[#This Row],[SalesAmount]] - SalesInventory[[#This Row],[Total Cost]]</f>
        <v>455</v>
      </c>
      <c r="N24" s="5" cm="1">
        <f t="array" ref="N24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24</v>
      </c>
      <c r="O24" s="5">
        <f>SalesInventory[[#This Row],[Opening stock]]-SUM(SalesInventory[[#This Row],[Qty_sold]])</f>
        <v>21</v>
      </c>
      <c r="Q24"/>
    </row>
    <row r="25" spans="2:17" x14ac:dyDescent="0.3">
      <c r="B25" s="4">
        <v>45613</v>
      </c>
      <c r="C25" t="s">
        <v>63</v>
      </c>
      <c r="D25" s="5"/>
      <c r="E25" s="5">
        <v>2</v>
      </c>
      <c r="F25" s="5">
        <v>750</v>
      </c>
      <c r="H25" s="5">
        <f>COUNTIF(SalesInventory[Product], SalesInventory[[#This Row],[Product]])</f>
        <v>16</v>
      </c>
      <c r="I25" s="47">
        <f>COUNTIF(INDEX(SalesInventory[Product],1):SalesInventory[[#This Row],[Product]],SalesInventory[[#This Row],[Product]])</f>
        <v>3</v>
      </c>
      <c r="J25" s="47" cm="1">
        <f t="array" ref="J25">INDEX(PriceHistory[Buying Price], MATCH(1, (PriceHistory[Product]=C25)*(B25&gt;=PriceHistory[Start Date])*((B25&lt;=PriceHistory[End Date])+(PriceHistory[End Date]="")), 0))</f>
        <v>215</v>
      </c>
      <c r="K25" s="47" cm="1">
        <f t="array" ref="K25">INDEX(PriceHistory[Selling Price], MATCH(1, (PriceHistory[Product]=C25)*(B25&gt;=PriceHistory[Start Date])*((B25&lt;=PriceHistory[End Date])+(PriceHistory[End Date]="")), 0))</f>
        <v>350</v>
      </c>
      <c r="L25" s="5">
        <f>SUM((SalesInventory[[#This Row],[Qty_sold]]*SalesInventory[[#This Row],[crrntBP]]), SalesInventory[[#This Row],[Transport]])</f>
        <v>430</v>
      </c>
      <c r="M25" s="5">
        <f>SalesInventory[[#This Row],[SalesAmount]] - SalesInventory[[#This Row],[Total Cost]]</f>
        <v>320</v>
      </c>
      <c r="N25" s="5" cm="1">
        <f t="array" ref="N25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13</v>
      </c>
      <c r="O25" s="5">
        <f>SalesInventory[[#This Row],[Opening stock]]-SUM(SalesInventory[[#This Row],[Qty_sold]])</f>
        <v>11</v>
      </c>
      <c r="Q25"/>
    </row>
    <row r="26" spans="2:17" x14ac:dyDescent="0.3">
      <c r="B26" s="4">
        <v>45614</v>
      </c>
      <c r="C26" t="s">
        <v>63</v>
      </c>
      <c r="D26" s="5"/>
      <c r="E26" s="5">
        <v>1</v>
      </c>
      <c r="F26" s="5">
        <v>350</v>
      </c>
      <c r="H26" s="5">
        <f>COUNTIF(SalesInventory[Product], SalesInventory[[#This Row],[Product]])</f>
        <v>16</v>
      </c>
      <c r="I26" s="47">
        <f>COUNTIF(INDEX(SalesInventory[Product],1):SalesInventory[[#This Row],[Product]],SalesInventory[[#This Row],[Product]])</f>
        <v>4</v>
      </c>
      <c r="J26" s="47" cm="1">
        <f t="array" ref="J26">INDEX(PriceHistory[Buying Price], MATCH(1, (PriceHistory[Product]=C26)*(B26&gt;=PriceHistory[Start Date])*((B26&lt;=PriceHistory[End Date])+(PriceHistory[End Date]="")), 0))</f>
        <v>215</v>
      </c>
      <c r="K26" s="47" cm="1">
        <f t="array" ref="K26">INDEX(PriceHistory[Selling Price], MATCH(1, (PriceHistory[Product]=C26)*(B26&gt;=PriceHistory[Start Date])*((B26&lt;=PriceHistory[End Date])+(PriceHistory[End Date]="")), 0))</f>
        <v>350</v>
      </c>
      <c r="L26" s="5">
        <f>SUM((SalesInventory[[#This Row],[Qty_sold]]*SalesInventory[[#This Row],[crrntBP]]), SalesInventory[[#This Row],[Transport]])</f>
        <v>215</v>
      </c>
      <c r="M26" s="5">
        <f>SalesInventory[[#This Row],[SalesAmount]] - SalesInventory[[#This Row],[Total Cost]]</f>
        <v>135</v>
      </c>
      <c r="N26" s="5" cm="1">
        <f t="array" ref="N26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11</v>
      </c>
      <c r="O26" s="5">
        <f>SalesInventory[[#This Row],[Opening stock]]-SUM(SalesInventory[[#This Row],[Qty_sold]])</f>
        <v>10</v>
      </c>
      <c r="Q26"/>
    </row>
    <row r="27" spans="2:17" x14ac:dyDescent="0.3">
      <c r="B27" s="4">
        <v>45615</v>
      </c>
      <c r="C27" t="s">
        <v>63</v>
      </c>
      <c r="D27" s="5"/>
      <c r="E27" s="5">
        <v>1</v>
      </c>
      <c r="F27" s="5">
        <v>400</v>
      </c>
      <c r="H27" s="5">
        <f>COUNTIF(SalesInventory[Product], SalesInventory[[#This Row],[Product]])</f>
        <v>16</v>
      </c>
      <c r="I27" s="47">
        <f>COUNTIF(INDEX(SalesInventory[Product],1):SalesInventory[[#This Row],[Product]],SalesInventory[[#This Row],[Product]])</f>
        <v>5</v>
      </c>
      <c r="J27" s="47" cm="1">
        <f t="array" ref="J27">INDEX(PriceHistory[Buying Price], MATCH(1, (PriceHistory[Product]=C27)*(B27&gt;=PriceHistory[Start Date])*((B27&lt;=PriceHistory[End Date])+(PriceHistory[End Date]="")), 0))</f>
        <v>215</v>
      </c>
      <c r="K27" s="47" cm="1">
        <f t="array" ref="K27">INDEX(PriceHistory[Selling Price], MATCH(1, (PriceHistory[Product]=C27)*(B27&gt;=PriceHistory[Start Date])*((B27&lt;=PriceHistory[End Date])+(PriceHistory[End Date]="")), 0))</f>
        <v>350</v>
      </c>
      <c r="L27" s="5">
        <f>SUM((SalesInventory[[#This Row],[Qty_sold]]*SalesInventory[[#This Row],[crrntBP]]), SalesInventory[[#This Row],[Transport]])</f>
        <v>215</v>
      </c>
      <c r="M27" s="5">
        <f>SalesInventory[[#This Row],[SalesAmount]] - SalesInventory[[#This Row],[Total Cost]]</f>
        <v>185</v>
      </c>
      <c r="N27" s="5" cm="1">
        <f t="array" ref="N27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10</v>
      </c>
      <c r="O27" s="5">
        <f>SalesInventory[[#This Row],[Opening stock]]-SUM(SalesInventory[[#This Row],[Qty_sold]])</f>
        <v>9</v>
      </c>
      <c r="Q27"/>
    </row>
    <row r="28" spans="2:17" x14ac:dyDescent="0.3">
      <c r="B28" s="4">
        <v>45615</v>
      </c>
      <c r="C28" t="s">
        <v>64</v>
      </c>
      <c r="D28" s="5"/>
      <c r="E28" s="5">
        <v>1</v>
      </c>
      <c r="F28" s="5">
        <v>250</v>
      </c>
      <c r="H28" s="5">
        <f>COUNTIF(SalesInventory[Product], SalesInventory[[#This Row],[Product]])</f>
        <v>4</v>
      </c>
      <c r="I28" s="47">
        <f>COUNTIF(INDEX(SalesInventory[Product],1):SalesInventory[[#This Row],[Product]],SalesInventory[[#This Row],[Product]])</f>
        <v>2</v>
      </c>
      <c r="J28" s="47" cm="1">
        <f t="array" ref="J28">INDEX(PriceHistory[Buying Price], MATCH(1, (PriceHistory[Product]=C28)*(B28&gt;=PriceHistory[Start Date])*((B28&lt;=PriceHistory[End Date])+(PriceHistory[End Date]="")), 0))</f>
        <v>215</v>
      </c>
      <c r="K28" s="47" cm="1">
        <f t="array" ref="K28">INDEX(PriceHistory[Selling Price], MATCH(1, (PriceHistory[Product]=C28)*(B28&gt;=PriceHistory[Start Date])*((B28&lt;=PriceHistory[End Date])+(PriceHistory[End Date]="")), 0))</f>
        <v>400</v>
      </c>
      <c r="L28" s="5">
        <f>SUM((SalesInventory[[#This Row],[Qty_sold]]*SalesInventory[[#This Row],[crrntBP]]), SalesInventory[[#This Row],[Transport]])</f>
        <v>215</v>
      </c>
      <c r="M28" s="5">
        <f>SalesInventory[[#This Row],[SalesAmount]] - SalesInventory[[#This Row],[Total Cost]]</f>
        <v>35</v>
      </c>
      <c r="N28" s="5" cm="1">
        <f t="array" ref="N28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4</v>
      </c>
      <c r="O28" s="5">
        <f>SalesInventory[[#This Row],[Opening stock]]-SUM(SalesInventory[[#This Row],[Qty_sold]])</f>
        <v>3</v>
      </c>
      <c r="Q28"/>
    </row>
    <row r="29" spans="2:17" x14ac:dyDescent="0.3">
      <c r="B29" s="4">
        <v>45617</v>
      </c>
      <c r="C29" t="s">
        <v>64</v>
      </c>
      <c r="D29" s="5"/>
      <c r="E29" s="5">
        <v>1</v>
      </c>
      <c r="F29" s="5">
        <v>250</v>
      </c>
      <c r="H29" s="5">
        <f>COUNTIF(SalesInventory[Product], SalesInventory[[#This Row],[Product]])</f>
        <v>4</v>
      </c>
      <c r="I29" s="47">
        <f>COUNTIF(INDEX(SalesInventory[Product],1):SalesInventory[[#This Row],[Product]],SalesInventory[[#This Row],[Product]])</f>
        <v>3</v>
      </c>
      <c r="J29" s="47" cm="1">
        <f t="array" ref="J29">INDEX(PriceHistory[Buying Price], MATCH(1, (PriceHistory[Product]=C29)*(B29&gt;=PriceHistory[Start Date])*((B29&lt;=PriceHistory[End Date])+(PriceHistory[End Date]="")), 0))</f>
        <v>215</v>
      </c>
      <c r="K29" s="47" cm="1">
        <f t="array" ref="K29">INDEX(PriceHistory[Selling Price], MATCH(1, (PriceHistory[Product]=C29)*(B29&gt;=PriceHistory[Start Date])*((B29&lt;=PriceHistory[End Date])+(PriceHistory[End Date]="")), 0))</f>
        <v>400</v>
      </c>
      <c r="L29" s="5">
        <f>SUM((SalesInventory[[#This Row],[Qty_sold]]*SalesInventory[[#This Row],[crrntBP]]), SalesInventory[[#This Row],[Transport]])</f>
        <v>215</v>
      </c>
      <c r="M29" s="5">
        <f>SalesInventory[[#This Row],[SalesAmount]] - SalesInventory[[#This Row],[Total Cost]]</f>
        <v>35</v>
      </c>
      <c r="N29" s="5" cm="1">
        <f t="array" ref="N29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3</v>
      </c>
      <c r="O29" s="5">
        <f>SalesInventory[[#This Row],[Opening stock]]-SUM(SalesInventory[[#This Row],[Qty_sold]])</f>
        <v>2</v>
      </c>
      <c r="Q29"/>
    </row>
    <row r="30" spans="2:17" x14ac:dyDescent="0.3">
      <c r="B30" s="4">
        <v>45618</v>
      </c>
      <c r="C30" t="s">
        <v>64</v>
      </c>
      <c r="D30" s="5"/>
      <c r="E30" s="5">
        <v>1</v>
      </c>
      <c r="F30" s="5">
        <v>250</v>
      </c>
      <c r="H30" s="5">
        <f>COUNTIF(SalesInventory[Product], SalesInventory[[#This Row],[Product]])</f>
        <v>4</v>
      </c>
      <c r="I30" s="47">
        <f>COUNTIF(INDEX(SalesInventory[Product],1):SalesInventory[[#This Row],[Product]],SalesInventory[[#This Row],[Product]])</f>
        <v>4</v>
      </c>
      <c r="J30" s="47" cm="1">
        <f t="array" ref="J30">INDEX(PriceHistory[Buying Price], MATCH(1, (PriceHistory[Product]=C30)*(B30&gt;=PriceHistory[Start Date])*((B30&lt;=PriceHistory[End Date])+(PriceHistory[End Date]="")), 0))</f>
        <v>215</v>
      </c>
      <c r="K30" s="47" cm="1">
        <f t="array" ref="K30">INDEX(PriceHistory[Selling Price], MATCH(1, (PriceHistory[Product]=C30)*(B30&gt;=PriceHistory[Start Date])*((B30&lt;=PriceHistory[End Date])+(PriceHistory[End Date]="")), 0))</f>
        <v>400</v>
      </c>
      <c r="L30" s="5">
        <f>SUM((SalesInventory[[#This Row],[Qty_sold]]*SalesInventory[[#This Row],[crrntBP]]), SalesInventory[[#This Row],[Transport]])</f>
        <v>215</v>
      </c>
      <c r="M30" s="5">
        <f>SalesInventory[[#This Row],[SalesAmount]] - SalesInventory[[#This Row],[Total Cost]]</f>
        <v>35</v>
      </c>
      <c r="N30" s="5" cm="1">
        <f t="array" ref="N30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2</v>
      </c>
      <c r="O30" s="5">
        <f>SalesInventory[[#This Row],[Opening stock]]-SUM(SalesInventory[[#This Row],[Qty_sold]])</f>
        <v>1</v>
      </c>
      <c r="Q30"/>
    </row>
    <row r="31" spans="2:17" x14ac:dyDescent="0.3">
      <c r="B31" s="4">
        <v>45618</v>
      </c>
      <c r="C31" t="s">
        <v>63</v>
      </c>
      <c r="D31" s="5"/>
      <c r="E31" s="5">
        <v>1</v>
      </c>
      <c r="F31" s="5">
        <v>400</v>
      </c>
      <c r="H31" s="5">
        <f>COUNTIF(SalesInventory[Product], SalesInventory[[#This Row],[Product]])</f>
        <v>16</v>
      </c>
      <c r="I31" s="47">
        <f>COUNTIF(INDEX(SalesInventory[Product],1):SalesInventory[[#This Row],[Product]],SalesInventory[[#This Row],[Product]])</f>
        <v>6</v>
      </c>
      <c r="J31" s="47" cm="1">
        <f t="array" ref="J31">INDEX(PriceHistory[Buying Price], MATCH(1, (PriceHistory[Product]=C31)*(B31&gt;=PriceHistory[Start Date])*((B31&lt;=PriceHistory[End Date])+(PriceHistory[End Date]="")), 0))</f>
        <v>215</v>
      </c>
      <c r="K31" s="47" cm="1">
        <f t="array" ref="K31">INDEX(PriceHistory[Selling Price], MATCH(1, (PriceHistory[Product]=C31)*(B31&gt;=PriceHistory[Start Date])*((B31&lt;=PriceHistory[End Date])+(PriceHistory[End Date]="")), 0))</f>
        <v>350</v>
      </c>
      <c r="L31" s="5">
        <f>SUM((SalesInventory[[#This Row],[Qty_sold]]*SalesInventory[[#This Row],[crrntBP]]), SalesInventory[[#This Row],[Transport]])</f>
        <v>215</v>
      </c>
      <c r="M31" s="5">
        <f>SalesInventory[[#This Row],[SalesAmount]] - SalesInventory[[#This Row],[Total Cost]]</f>
        <v>185</v>
      </c>
      <c r="N31" s="5" cm="1">
        <f t="array" ref="N31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9</v>
      </c>
      <c r="O31" s="5">
        <f>SalesInventory[[#This Row],[Opening stock]]-SUM(SalesInventory[[#This Row],[Qty_sold]])</f>
        <v>8</v>
      </c>
      <c r="Q31"/>
    </row>
    <row r="32" spans="2:17" x14ac:dyDescent="0.3">
      <c r="B32" s="4">
        <v>45629</v>
      </c>
      <c r="C32" t="s">
        <v>63</v>
      </c>
      <c r="D32" s="5"/>
      <c r="E32" s="5">
        <v>1</v>
      </c>
      <c r="F32" s="5">
        <v>400</v>
      </c>
      <c r="H32" s="5">
        <f>COUNTIF(SalesInventory[Product], SalesInventory[[#This Row],[Product]])</f>
        <v>16</v>
      </c>
      <c r="I32" s="47">
        <f>COUNTIF(INDEX(SalesInventory[Product],1):SalesInventory[[#This Row],[Product]],SalesInventory[[#This Row],[Product]])</f>
        <v>7</v>
      </c>
      <c r="J32" s="47" cm="1">
        <f t="array" ref="J32">INDEX(PriceHistory[Buying Price], MATCH(1, (PriceHistory[Product]=C32)*(B32&gt;=PriceHistory[Start Date])*((B32&lt;=PriceHistory[End Date])+(PriceHistory[End Date]="")), 0))</f>
        <v>215</v>
      </c>
      <c r="K32" s="47" cm="1">
        <f t="array" ref="K32">INDEX(PriceHistory[Selling Price], MATCH(1, (PriceHistory[Product]=C32)*(B32&gt;=PriceHistory[Start Date])*((B32&lt;=PriceHistory[End Date])+(PriceHistory[End Date]="")), 0))</f>
        <v>350</v>
      </c>
      <c r="L32" s="5">
        <f>SUM((SalesInventory[[#This Row],[Qty_sold]]*SalesInventory[[#This Row],[crrntBP]]), SalesInventory[[#This Row],[Transport]])</f>
        <v>215</v>
      </c>
      <c r="M32" s="5">
        <f>SalesInventory[[#This Row],[SalesAmount]] - SalesInventory[[#This Row],[Total Cost]]</f>
        <v>185</v>
      </c>
      <c r="N32" s="5" cm="1">
        <f t="array" ref="N32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8</v>
      </c>
      <c r="O32" s="5">
        <f>SalesInventory[[#This Row],[Opening stock]]-SUM(SalesInventory[[#This Row],[Qty_sold]])</f>
        <v>7</v>
      </c>
      <c r="Q32"/>
    </row>
    <row r="33" spans="2:17" x14ac:dyDescent="0.3">
      <c r="B33" s="4">
        <v>45629</v>
      </c>
      <c r="C33" t="s">
        <v>61</v>
      </c>
      <c r="D33" s="5"/>
      <c r="E33" s="5">
        <v>1</v>
      </c>
      <c r="F33" s="5">
        <v>250</v>
      </c>
      <c r="H33" s="5">
        <f>COUNTIF(SalesInventory[Product], SalesInventory[[#This Row],[Product]])</f>
        <v>19</v>
      </c>
      <c r="I33" s="47">
        <f>COUNTIF(INDEX(SalesInventory[Product],1):SalesInventory[[#This Row],[Product]],SalesInventory[[#This Row],[Product]])</f>
        <v>11</v>
      </c>
      <c r="J33" s="47" cm="1">
        <f t="array" ref="J33">INDEX(PriceHistory[Buying Price], MATCH(1, (PriceHistory[Product]=C33)*(B33&gt;=PriceHistory[Start Date])*((B33&lt;=PriceHistory[End Date])+(PriceHistory[End Date]="")), 0))</f>
        <v>150</v>
      </c>
      <c r="K33" s="47" cm="1">
        <f t="array" ref="K33">INDEX(PriceHistory[Selling Price], MATCH(1, (PriceHistory[Product]=C33)*(B33&gt;=PriceHistory[Start Date])*((B33&lt;=PriceHistory[End Date])+(PriceHistory[End Date]="")), 0))</f>
        <v>250</v>
      </c>
      <c r="L33" s="5">
        <f>SUM((SalesInventory[[#This Row],[Qty_sold]]*SalesInventory[[#This Row],[crrntBP]]), SalesInventory[[#This Row],[Transport]])</f>
        <v>150</v>
      </c>
      <c r="M33" s="5">
        <f>SalesInventory[[#This Row],[SalesAmount]] - SalesInventory[[#This Row],[Total Cost]]</f>
        <v>100</v>
      </c>
      <c r="N33" s="5" cm="1">
        <f t="array" ref="N33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26</v>
      </c>
      <c r="O33" s="5">
        <f>SalesInventory[[#This Row],[Opening stock]]-SUM(SalesInventory[[#This Row],[Qty_sold]])</f>
        <v>25</v>
      </c>
      <c r="Q33"/>
    </row>
    <row r="34" spans="2:17" x14ac:dyDescent="0.3">
      <c r="B34" s="4">
        <v>45631</v>
      </c>
      <c r="C34" t="s">
        <v>61</v>
      </c>
      <c r="D34" s="5"/>
      <c r="E34" s="5">
        <v>1</v>
      </c>
      <c r="F34" s="5">
        <v>300</v>
      </c>
      <c r="H34" s="5">
        <f>COUNTIF(SalesInventory[Product], SalesInventory[[#This Row],[Product]])</f>
        <v>19</v>
      </c>
      <c r="I34" s="47">
        <f>COUNTIF(INDEX(SalesInventory[Product],1):SalesInventory[[#This Row],[Product]],SalesInventory[[#This Row],[Product]])</f>
        <v>12</v>
      </c>
      <c r="J34" s="47" cm="1">
        <f t="array" ref="J34">INDEX(PriceHistory[Buying Price], MATCH(1, (PriceHistory[Product]=C34)*(B34&gt;=PriceHistory[Start Date])*((B34&lt;=PriceHistory[End Date])+(PriceHistory[End Date]="")), 0))</f>
        <v>150</v>
      </c>
      <c r="K34" s="47" cm="1">
        <f t="array" ref="K34">INDEX(PriceHistory[Selling Price], MATCH(1, (PriceHistory[Product]=C34)*(B34&gt;=PriceHistory[Start Date])*((B34&lt;=PriceHistory[End Date])+(PriceHistory[End Date]="")), 0))</f>
        <v>250</v>
      </c>
      <c r="L34" s="5">
        <f>SUM((SalesInventory[[#This Row],[Qty_sold]]*SalesInventory[[#This Row],[crrntBP]]), SalesInventory[[#This Row],[Transport]])</f>
        <v>150</v>
      </c>
      <c r="M34" s="5">
        <f>SalesInventory[[#This Row],[SalesAmount]] - SalesInventory[[#This Row],[Total Cost]]</f>
        <v>150</v>
      </c>
      <c r="N34" s="5" cm="1">
        <f t="array" ref="N34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25</v>
      </c>
      <c r="O34" s="5">
        <f>SalesInventory[[#This Row],[Opening stock]]-SUM(SalesInventory[[#This Row],[Qty_sold]])</f>
        <v>24</v>
      </c>
      <c r="Q34"/>
    </row>
    <row r="35" spans="2:17" x14ac:dyDescent="0.3">
      <c r="B35" s="4">
        <v>45631</v>
      </c>
      <c r="C35" t="s">
        <v>62</v>
      </c>
      <c r="D35" s="5"/>
      <c r="E35" s="5">
        <v>1</v>
      </c>
      <c r="F35" s="5">
        <v>500</v>
      </c>
      <c r="H35" s="5">
        <f>COUNTIF(SalesInventory[Product], SalesInventory[[#This Row],[Product]])</f>
        <v>12</v>
      </c>
      <c r="I35" s="47">
        <f>COUNTIF(INDEX(SalesInventory[Product],1):SalesInventory[[#This Row],[Product]],SalesInventory[[#This Row],[Product]])</f>
        <v>3</v>
      </c>
      <c r="J35" s="47" cm="1">
        <f t="array" ref="J35">INDEX(PriceHistory[Buying Price], MATCH(1, (PriceHistory[Product]=C35)*(B35&gt;=PriceHistory[Start Date])*((B35&lt;=PriceHistory[End Date])+(PriceHistory[End Date]="")), 0))</f>
        <v>215</v>
      </c>
      <c r="K35" s="47" cm="1">
        <f t="array" ref="K35">INDEX(PriceHistory[Selling Price], MATCH(1, (PriceHistory[Product]=C35)*(B35&gt;=PriceHistory[Start Date])*((B35&lt;=PriceHistory[End Date])+(PriceHistory[End Date]="")), 0))</f>
        <v>400</v>
      </c>
      <c r="L35" s="5">
        <f>SUM((SalesInventory[[#This Row],[Qty_sold]]*SalesInventory[[#This Row],[crrntBP]]), SalesInventory[[#This Row],[Transport]])</f>
        <v>215</v>
      </c>
      <c r="M35" s="5">
        <f>SalesInventory[[#This Row],[SalesAmount]] - SalesInventory[[#This Row],[Total Cost]]</f>
        <v>285</v>
      </c>
      <c r="N35" s="5" cm="1">
        <f t="array" ref="N35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21</v>
      </c>
      <c r="O35" s="5">
        <f>SalesInventory[[#This Row],[Opening stock]]-SUM(SalesInventory[[#This Row],[Qty_sold]])</f>
        <v>20</v>
      </c>
    </row>
    <row r="36" spans="2:17" x14ac:dyDescent="0.3">
      <c r="B36" s="4">
        <v>45631</v>
      </c>
      <c r="C36" t="s">
        <v>63</v>
      </c>
      <c r="D36" s="5"/>
      <c r="E36" s="5">
        <v>1</v>
      </c>
      <c r="F36" s="5">
        <v>400</v>
      </c>
      <c r="H36" s="5">
        <f>COUNTIF(SalesInventory[Product], SalesInventory[[#This Row],[Product]])</f>
        <v>16</v>
      </c>
      <c r="I36" s="47">
        <f>COUNTIF(INDEX(SalesInventory[Product],1):SalesInventory[[#This Row],[Product]],SalesInventory[[#This Row],[Product]])</f>
        <v>8</v>
      </c>
      <c r="J36" s="47" cm="1">
        <f t="array" ref="J36">INDEX(PriceHistory[Buying Price], MATCH(1, (PriceHistory[Product]=C36)*(B36&gt;=PriceHistory[Start Date])*((B36&lt;=PriceHistory[End Date])+(PriceHistory[End Date]="")), 0))</f>
        <v>215</v>
      </c>
      <c r="K36" s="47" cm="1">
        <f t="array" ref="K36">INDEX(PriceHistory[Selling Price], MATCH(1, (PriceHistory[Product]=C36)*(B36&gt;=PriceHistory[Start Date])*((B36&lt;=PriceHistory[End Date])+(PriceHistory[End Date]="")), 0))</f>
        <v>350</v>
      </c>
      <c r="L36" s="5">
        <f>SUM((SalesInventory[[#This Row],[Qty_sold]]*SalesInventory[[#This Row],[crrntBP]]), SalesInventory[[#This Row],[Transport]])</f>
        <v>215</v>
      </c>
      <c r="M36" s="5">
        <f>SalesInventory[[#This Row],[SalesAmount]] - SalesInventory[[#This Row],[Total Cost]]</f>
        <v>185</v>
      </c>
      <c r="N36" s="5" cm="1">
        <f t="array" ref="N36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7</v>
      </c>
      <c r="O36" s="5">
        <f>SalesInventory[[#This Row],[Opening stock]]-SUM(SalesInventory[[#This Row],[Qty_sold]])</f>
        <v>6</v>
      </c>
    </row>
    <row r="37" spans="2:17" x14ac:dyDescent="0.3">
      <c r="B37" s="4">
        <v>45643</v>
      </c>
      <c r="C37" t="s">
        <v>62</v>
      </c>
      <c r="D37" s="5"/>
      <c r="E37" s="5">
        <v>2</v>
      </c>
      <c r="F37" s="5">
        <v>800</v>
      </c>
      <c r="H37" s="5">
        <f>COUNTIF(SalesInventory[Product], SalesInventory[[#This Row],[Product]])</f>
        <v>12</v>
      </c>
      <c r="I37" s="47">
        <f>COUNTIF(INDEX(SalesInventory[Product],1):SalesInventory[[#This Row],[Product]],SalesInventory[[#This Row],[Product]])</f>
        <v>4</v>
      </c>
      <c r="J37" s="47" cm="1">
        <f t="array" ref="J37">INDEX(PriceHistory[Buying Price], MATCH(1, (PriceHistory[Product]=C37)*(B37&gt;=PriceHistory[Start Date])*((B37&lt;=PriceHistory[End Date])+(PriceHistory[End Date]="")), 0))</f>
        <v>215</v>
      </c>
      <c r="K37" s="47" cm="1">
        <f t="array" ref="K37">INDEX(PriceHistory[Selling Price], MATCH(1, (PriceHistory[Product]=C37)*(B37&gt;=PriceHistory[Start Date])*((B37&lt;=PriceHistory[End Date])+(PriceHistory[End Date]="")), 0))</f>
        <v>400</v>
      </c>
      <c r="L37" s="5">
        <f>SUM((SalesInventory[[#This Row],[Qty_sold]]*SalesInventory[[#This Row],[crrntBP]]), SalesInventory[[#This Row],[Transport]])</f>
        <v>430</v>
      </c>
      <c r="M37" s="5">
        <f>SalesInventory[[#This Row],[SalesAmount]] - SalesInventory[[#This Row],[Total Cost]]</f>
        <v>370</v>
      </c>
      <c r="N37" s="5" cm="1">
        <f t="array" ref="N37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20</v>
      </c>
      <c r="O37" s="5">
        <f>SalesInventory[[#This Row],[Opening stock]]-SUM(SalesInventory[[#This Row],[Qty_sold]])</f>
        <v>18</v>
      </c>
    </row>
    <row r="38" spans="2:17" x14ac:dyDescent="0.3">
      <c r="B38" s="4">
        <v>45644</v>
      </c>
      <c r="C38" t="s">
        <v>62</v>
      </c>
      <c r="D38" s="5"/>
      <c r="E38" s="5">
        <v>1</v>
      </c>
      <c r="F38" s="5">
        <v>400</v>
      </c>
      <c r="H38" s="5">
        <f>COUNTIF(SalesInventory[Product], SalesInventory[[#This Row],[Product]])</f>
        <v>12</v>
      </c>
      <c r="I38" s="47">
        <f>COUNTIF(INDEX(SalesInventory[Product],1):SalesInventory[[#This Row],[Product]],SalesInventory[[#This Row],[Product]])</f>
        <v>5</v>
      </c>
      <c r="J38" s="47" cm="1">
        <f t="array" ref="J38">INDEX(PriceHistory[Buying Price], MATCH(1, (PriceHistory[Product]=C38)*(B38&gt;=PriceHistory[Start Date])*((B38&lt;=PriceHistory[End Date])+(PriceHistory[End Date]="")), 0))</f>
        <v>215</v>
      </c>
      <c r="K38" s="47" cm="1">
        <f t="array" ref="K38">INDEX(PriceHistory[Selling Price], MATCH(1, (PriceHistory[Product]=C38)*(B38&gt;=PriceHistory[Start Date])*((B38&lt;=PriceHistory[End Date])+(PriceHistory[End Date]="")), 0))</f>
        <v>400</v>
      </c>
      <c r="L38" s="5">
        <f>SUM((SalesInventory[[#This Row],[Qty_sold]]*SalesInventory[[#This Row],[crrntBP]]), SalesInventory[[#This Row],[Transport]])</f>
        <v>215</v>
      </c>
      <c r="M38" s="5">
        <f>SalesInventory[[#This Row],[SalesAmount]] - SalesInventory[[#This Row],[Total Cost]]</f>
        <v>185</v>
      </c>
      <c r="N38" s="5" cm="1">
        <f t="array" ref="N38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18</v>
      </c>
      <c r="O38" s="5">
        <f>SalesInventory[[#This Row],[Opening stock]]-SUM(SalesInventory[[#This Row],[Qty_sold]])</f>
        <v>17</v>
      </c>
    </row>
    <row r="39" spans="2:17" x14ac:dyDescent="0.3">
      <c r="B39" s="4">
        <v>45645</v>
      </c>
      <c r="C39" t="s">
        <v>62</v>
      </c>
      <c r="D39" s="5">
        <v>20</v>
      </c>
      <c r="G39" s="5">
        <v>2500</v>
      </c>
      <c r="H39" s="5">
        <f>COUNTIF(SalesInventory[Product], SalesInventory[[#This Row],[Product]])</f>
        <v>12</v>
      </c>
      <c r="I39" s="47">
        <f>COUNTIF(INDEX(SalesInventory[Product],1):SalesInventory[[#This Row],[Product]],SalesInventory[[#This Row],[Product]])</f>
        <v>6</v>
      </c>
      <c r="J39" s="47" cm="1">
        <f t="array" ref="J39">INDEX(PriceHistory[Buying Price], MATCH(1, (PriceHistory[Product]=C39)*(B39&gt;=PriceHistory[Start Date])*((B39&lt;=PriceHistory[End Date])+(PriceHistory[End Date]="")), 0))</f>
        <v>215</v>
      </c>
      <c r="K39" s="47" cm="1">
        <f t="array" ref="K39">INDEX(PriceHistory[Selling Price], MATCH(1, (PriceHistory[Product]=C39)*(B39&gt;=PriceHistory[Start Date])*((B39&lt;=PriceHistory[End Date])+(PriceHistory[End Date]="")), 0))</f>
        <v>400</v>
      </c>
      <c r="L39" s="5">
        <f>SUM((SalesInventory[[#This Row],[Qty_sold]]*SalesInventory[[#This Row],[crrntBP]]), SalesInventory[[#This Row],[Transport]])</f>
        <v>2500</v>
      </c>
      <c r="M39" s="5">
        <f>SalesInventory[[#This Row],[SalesAmount]] - SalesInventory[[#This Row],[Total Cost]]</f>
        <v>-2500</v>
      </c>
      <c r="N39" s="5" cm="1">
        <f t="array" ref="N39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37</v>
      </c>
      <c r="O39" s="5">
        <f>SalesInventory[[#This Row],[Opening stock]]-SUM(SalesInventory[[#This Row],[Qty_sold]])</f>
        <v>37</v>
      </c>
    </row>
    <row r="40" spans="2:17" x14ac:dyDescent="0.3">
      <c r="B40" s="4">
        <v>45645</v>
      </c>
      <c r="C40" t="s">
        <v>61</v>
      </c>
      <c r="D40" s="5">
        <v>31</v>
      </c>
      <c r="H40" s="5">
        <f>COUNTIF(SalesInventory[Product], SalesInventory[[#This Row],[Product]])</f>
        <v>19</v>
      </c>
      <c r="I40" s="47">
        <f>COUNTIF(INDEX(SalesInventory[Product],1):SalesInventory[[#This Row],[Product]],SalesInventory[[#This Row],[Product]])</f>
        <v>13</v>
      </c>
      <c r="J40" s="47" cm="1">
        <f t="array" ref="J40">INDEX(PriceHistory[Buying Price], MATCH(1, (PriceHistory[Product]=C40)*(B40&gt;=PriceHistory[Start Date])*((B40&lt;=PriceHistory[End Date])+(PriceHistory[End Date]="")), 0))</f>
        <v>150</v>
      </c>
      <c r="K40" s="47" cm="1">
        <f t="array" ref="K40">INDEX(PriceHistory[Selling Price], MATCH(1, (PriceHistory[Product]=C40)*(B40&gt;=PriceHistory[Start Date])*((B40&lt;=PriceHistory[End Date])+(PriceHistory[End Date]="")), 0))</f>
        <v>250</v>
      </c>
      <c r="L40" s="5">
        <f>SUM((SalesInventory[[#This Row],[Qty_sold]]*SalesInventory[[#This Row],[crrntBP]]), SalesInventory[[#This Row],[Transport]])</f>
        <v>0</v>
      </c>
      <c r="M40" s="5">
        <f>SalesInventory[[#This Row],[SalesAmount]] - SalesInventory[[#This Row],[Total Cost]]</f>
        <v>0</v>
      </c>
      <c r="N40" s="5" cm="1">
        <f t="array" ref="N40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55</v>
      </c>
      <c r="O40" s="5">
        <f>SalesInventory[[#This Row],[Opening stock]]-SUM(SalesInventory[[#This Row],[Qty_sold]])</f>
        <v>55</v>
      </c>
    </row>
    <row r="41" spans="2:17" x14ac:dyDescent="0.3">
      <c r="B41" s="4">
        <v>45645</v>
      </c>
      <c r="C41" t="s">
        <v>63</v>
      </c>
      <c r="D41" s="5">
        <v>12</v>
      </c>
      <c r="H41" s="5">
        <f>COUNTIF(SalesInventory[Product], SalesInventory[[#This Row],[Product]])</f>
        <v>16</v>
      </c>
      <c r="I41" s="47">
        <f>COUNTIF(INDEX(SalesInventory[Product],1):SalesInventory[[#This Row],[Product]],SalesInventory[[#This Row],[Product]])</f>
        <v>9</v>
      </c>
      <c r="J41" s="47" cm="1">
        <f t="array" ref="J41">INDEX(PriceHistory[Buying Price], MATCH(1, (PriceHistory[Product]=C41)*(B41&gt;=PriceHistory[Start Date])*((B41&lt;=PriceHistory[End Date])+(PriceHistory[End Date]="")), 0))</f>
        <v>215</v>
      </c>
      <c r="K41" s="47" cm="1">
        <f t="array" ref="K41">INDEX(PriceHistory[Selling Price], MATCH(1, (PriceHistory[Product]=C41)*(B41&gt;=PriceHistory[Start Date])*((B41&lt;=PriceHistory[End Date])+(PriceHistory[End Date]="")), 0))</f>
        <v>350</v>
      </c>
      <c r="L41" s="5">
        <f>SUM((SalesInventory[[#This Row],[Qty_sold]]*SalesInventory[[#This Row],[crrntBP]]), SalesInventory[[#This Row],[Transport]])</f>
        <v>0</v>
      </c>
      <c r="M41" s="5">
        <f>SalesInventory[[#This Row],[SalesAmount]] - SalesInventory[[#This Row],[Total Cost]]</f>
        <v>0</v>
      </c>
      <c r="N41" s="5" cm="1">
        <f t="array" ref="N41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18</v>
      </c>
      <c r="O41" s="5">
        <f>SalesInventory[[#This Row],[Opening stock]]-SUM(SalesInventory[[#This Row],[Qty_sold]])</f>
        <v>18</v>
      </c>
    </row>
    <row r="42" spans="2:17" x14ac:dyDescent="0.3">
      <c r="B42" s="4">
        <v>45646</v>
      </c>
      <c r="C42" t="s">
        <v>63</v>
      </c>
      <c r="D42" s="5"/>
      <c r="E42" s="5">
        <v>2</v>
      </c>
      <c r="F42" s="5">
        <v>800</v>
      </c>
      <c r="H42" s="5">
        <f>COUNTIF(SalesInventory[Product], SalesInventory[[#This Row],[Product]])</f>
        <v>16</v>
      </c>
      <c r="I42" s="47">
        <f>COUNTIF(INDEX(SalesInventory[Product],1):SalesInventory[[#This Row],[Product]],SalesInventory[[#This Row],[Product]])</f>
        <v>10</v>
      </c>
      <c r="J42" s="47" cm="1">
        <f t="array" ref="J42">INDEX(PriceHistory[Buying Price], MATCH(1, (PriceHistory[Product]=C42)*(B42&gt;=PriceHistory[Start Date])*((B42&lt;=PriceHistory[End Date])+(PriceHistory[End Date]="")), 0))</f>
        <v>215</v>
      </c>
      <c r="K42" s="47" cm="1">
        <f t="array" ref="K42">INDEX(PriceHistory[Selling Price], MATCH(1, (PriceHistory[Product]=C42)*(B42&gt;=PriceHistory[Start Date])*((B42&lt;=PriceHistory[End Date])+(PriceHistory[End Date]="")), 0))</f>
        <v>350</v>
      </c>
      <c r="L42" s="5">
        <f>SUM((SalesInventory[[#This Row],[Qty_sold]]*SalesInventory[[#This Row],[crrntBP]]), SalesInventory[[#This Row],[Transport]])</f>
        <v>430</v>
      </c>
      <c r="M42" s="5">
        <f>SalesInventory[[#This Row],[SalesAmount]] - SalesInventory[[#This Row],[Total Cost]]</f>
        <v>370</v>
      </c>
      <c r="N42" s="5" cm="1">
        <f t="array" ref="N42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18</v>
      </c>
      <c r="O42" s="5">
        <f>SalesInventory[[#This Row],[Opening stock]]-SUM(SalesInventory[[#This Row],[Qty_sold]])</f>
        <v>16</v>
      </c>
    </row>
    <row r="43" spans="2:17" x14ac:dyDescent="0.3">
      <c r="B43" s="4">
        <v>45646</v>
      </c>
      <c r="C43" t="s">
        <v>62</v>
      </c>
      <c r="D43" s="5"/>
      <c r="E43" s="5">
        <v>1</v>
      </c>
      <c r="F43" s="5">
        <v>400</v>
      </c>
      <c r="H43" s="5">
        <f>COUNTIF(SalesInventory[Product], SalesInventory[[#This Row],[Product]])</f>
        <v>12</v>
      </c>
      <c r="I43" s="47">
        <f>COUNTIF(INDEX(SalesInventory[Product],1):SalesInventory[[#This Row],[Product]],SalesInventory[[#This Row],[Product]])</f>
        <v>7</v>
      </c>
      <c r="J43" s="47" cm="1">
        <f t="array" ref="J43">INDEX(PriceHistory[Buying Price], MATCH(1, (PriceHistory[Product]=C43)*(B43&gt;=PriceHistory[Start Date])*((B43&lt;=PriceHistory[End Date])+(PriceHistory[End Date]="")), 0))</f>
        <v>215</v>
      </c>
      <c r="K43" s="47" cm="1">
        <f t="array" ref="K43">INDEX(PriceHistory[Selling Price], MATCH(1, (PriceHistory[Product]=C43)*(B43&gt;=PriceHistory[Start Date])*((B43&lt;=PriceHistory[End Date])+(PriceHistory[End Date]="")), 0))</f>
        <v>400</v>
      </c>
      <c r="L43" s="5">
        <f>SUM((SalesInventory[[#This Row],[Qty_sold]]*SalesInventory[[#This Row],[crrntBP]]), SalesInventory[[#This Row],[Transport]])</f>
        <v>215</v>
      </c>
      <c r="M43" s="5">
        <f>SalesInventory[[#This Row],[SalesAmount]] - SalesInventory[[#This Row],[Total Cost]]</f>
        <v>185</v>
      </c>
      <c r="N43" s="5" cm="1">
        <f t="array" ref="N43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37</v>
      </c>
      <c r="O43" s="5">
        <f>SalesInventory[[#This Row],[Opening stock]]-SUM(SalesInventory[[#This Row],[Qty_sold]])</f>
        <v>36</v>
      </c>
    </row>
    <row r="44" spans="2:17" x14ac:dyDescent="0.3">
      <c r="B44" s="4">
        <v>45647</v>
      </c>
      <c r="C44" t="s">
        <v>61</v>
      </c>
      <c r="D44" s="5"/>
      <c r="E44" s="5">
        <v>2</v>
      </c>
      <c r="F44" s="5">
        <v>700</v>
      </c>
      <c r="H44" s="5">
        <f>COUNTIF(SalesInventory[Product], SalesInventory[[#This Row],[Product]])</f>
        <v>19</v>
      </c>
      <c r="I44" s="47">
        <f>COUNTIF(INDEX(SalesInventory[Product],1):SalesInventory[[#This Row],[Product]],SalesInventory[[#This Row],[Product]])</f>
        <v>14</v>
      </c>
      <c r="J44" s="47" cm="1">
        <f t="array" ref="J44">INDEX(PriceHistory[Buying Price], MATCH(1, (PriceHistory[Product]=C44)*(B44&gt;=PriceHistory[Start Date])*((B44&lt;=PriceHistory[End Date])+(PriceHistory[End Date]="")), 0))</f>
        <v>150</v>
      </c>
      <c r="K44" s="47" cm="1">
        <f t="array" ref="K44">INDEX(PriceHistory[Selling Price], MATCH(1, (PriceHistory[Product]=C44)*(B44&gt;=PriceHistory[Start Date])*((B44&lt;=PriceHistory[End Date])+(PriceHistory[End Date]="")), 0))</f>
        <v>250</v>
      </c>
      <c r="L44" s="5">
        <f>SUM((SalesInventory[[#This Row],[Qty_sold]]*SalesInventory[[#This Row],[crrntBP]]), SalesInventory[[#This Row],[Transport]])</f>
        <v>300</v>
      </c>
      <c r="M44" s="5">
        <f>SalesInventory[[#This Row],[SalesAmount]] - SalesInventory[[#This Row],[Total Cost]]</f>
        <v>400</v>
      </c>
      <c r="N44" s="5" cm="1">
        <f t="array" ref="N44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55</v>
      </c>
      <c r="O44" s="5">
        <f>SalesInventory[[#This Row],[Opening stock]]-SUM(SalesInventory[[#This Row],[Qty_sold]])</f>
        <v>53</v>
      </c>
    </row>
    <row r="45" spans="2:17" x14ac:dyDescent="0.3">
      <c r="B45" s="4">
        <v>45647</v>
      </c>
      <c r="C45" t="s">
        <v>63</v>
      </c>
      <c r="D45" s="5"/>
      <c r="E45" s="5">
        <v>4</v>
      </c>
      <c r="F45" s="5">
        <v>1500</v>
      </c>
      <c r="H45" s="5">
        <f>COUNTIF(SalesInventory[Product], SalesInventory[[#This Row],[Product]])</f>
        <v>16</v>
      </c>
      <c r="I45" s="47">
        <f>COUNTIF(INDEX(SalesInventory[Product],1):SalesInventory[[#This Row],[Product]],SalesInventory[[#This Row],[Product]])</f>
        <v>11</v>
      </c>
      <c r="J45" s="47" cm="1">
        <f t="array" ref="J45">INDEX(PriceHistory[Buying Price], MATCH(1, (PriceHistory[Product]=C45)*(B45&gt;=PriceHistory[Start Date])*((B45&lt;=PriceHistory[End Date])+(PriceHistory[End Date]="")), 0))</f>
        <v>215</v>
      </c>
      <c r="K45" s="47" cm="1">
        <f t="array" ref="K45">INDEX(PriceHistory[Selling Price], MATCH(1, (PriceHistory[Product]=C45)*(B45&gt;=PriceHistory[Start Date])*((B45&lt;=PriceHistory[End Date])+(PriceHistory[End Date]="")), 0))</f>
        <v>350</v>
      </c>
      <c r="L45" s="5">
        <f>SUM((SalesInventory[[#This Row],[Qty_sold]]*SalesInventory[[#This Row],[crrntBP]]), SalesInventory[[#This Row],[Transport]])</f>
        <v>860</v>
      </c>
      <c r="M45" s="5">
        <f>SalesInventory[[#This Row],[SalesAmount]] - SalesInventory[[#This Row],[Total Cost]]</f>
        <v>640</v>
      </c>
      <c r="N45" s="5" cm="1">
        <f t="array" ref="N45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16</v>
      </c>
      <c r="O45" s="5">
        <f>SalesInventory[[#This Row],[Opening stock]]-SUM(SalesInventory[[#This Row],[Qty_sold]])</f>
        <v>12</v>
      </c>
    </row>
    <row r="46" spans="2:17" x14ac:dyDescent="0.3">
      <c r="B46" s="4">
        <v>45649</v>
      </c>
      <c r="C46" t="s">
        <v>61</v>
      </c>
      <c r="D46" s="5"/>
      <c r="E46" s="5">
        <v>1</v>
      </c>
      <c r="F46" s="5">
        <v>350</v>
      </c>
      <c r="H46" s="5">
        <f>COUNTIF(SalesInventory[Product], SalesInventory[[#This Row],[Product]])</f>
        <v>19</v>
      </c>
      <c r="I46" s="47">
        <f>COUNTIF(INDEX(SalesInventory[Product],1):SalesInventory[[#This Row],[Product]],SalesInventory[[#This Row],[Product]])</f>
        <v>15</v>
      </c>
      <c r="J46" s="47" cm="1">
        <f t="array" ref="J46">INDEX(PriceHistory[Buying Price], MATCH(1, (PriceHistory[Product]=C46)*(B46&gt;=PriceHistory[Start Date])*((B46&lt;=PriceHistory[End Date])+(PriceHistory[End Date]="")), 0))</f>
        <v>150</v>
      </c>
      <c r="K46" s="47" cm="1">
        <f t="array" ref="K46">INDEX(PriceHistory[Selling Price], MATCH(1, (PriceHistory[Product]=C46)*(B46&gt;=PriceHistory[Start Date])*((B46&lt;=PriceHistory[End Date])+(PriceHistory[End Date]="")), 0))</f>
        <v>250</v>
      </c>
      <c r="L46" s="5">
        <f>SUM((SalesInventory[[#This Row],[Qty_sold]]*SalesInventory[[#This Row],[crrntBP]]), SalesInventory[[#This Row],[Transport]])</f>
        <v>150</v>
      </c>
      <c r="M46" s="5">
        <f>SalesInventory[[#This Row],[SalesAmount]] - SalesInventory[[#This Row],[Total Cost]]</f>
        <v>200</v>
      </c>
      <c r="N46" s="5" cm="1">
        <f t="array" ref="N46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53</v>
      </c>
      <c r="O46" s="5">
        <f>SalesInventory[[#This Row],[Opening stock]]-SUM(SalesInventory[[#This Row],[Qty_sold]])</f>
        <v>52</v>
      </c>
    </row>
    <row r="47" spans="2:17" x14ac:dyDescent="0.3">
      <c r="B47" s="4">
        <v>45653</v>
      </c>
      <c r="C47" t="s">
        <v>61</v>
      </c>
      <c r="D47" s="5"/>
      <c r="E47" s="5">
        <v>2</v>
      </c>
      <c r="F47" s="5">
        <v>700</v>
      </c>
      <c r="H47" s="5">
        <f>COUNTIF(SalesInventory[Product], SalesInventory[[#This Row],[Product]])</f>
        <v>19</v>
      </c>
      <c r="I47" s="47">
        <f>COUNTIF(INDEX(SalesInventory[Product],1):SalesInventory[[#This Row],[Product]],SalesInventory[[#This Row],[Product]])</f>
        <v>16</v>
      </c>
      <c r="J47" s="47" cm="1">
        <f t="array" ref="J47">INDEX(PriceHistory[Buying Price], MATCH(1, (PriceHistory[Product]=C47)*(B47&gt;=PriceHistory[Start Date])*((B47&lt;=PriceHistory[End Date])+(PriceHistory[End Date]="")), 0))</f>
        <v>150</v>
      </c>
      <c r="K47" s="47" cm="1">
        <f t="array" ref="K47">INDEX(PriceHistory[Selling Price], MATCH(1, (PriceHistory[Product]=C47)*(B47&gt;=PriceHistory[Start Date])*((B47&lt;=PriceHistory[End Date])+(PriceHistory[End Date]="")), 0))</f>
        <v>250</v>
      </c>
      <c r="L47" s="5">
        <f>SUM((SalesInventory[[#This Row],[Qty_sold]]*SalesInventory[[#This Row],[crrntBP]]), SalesInventory[[#This Row],[Transport]])</f>
        <v>300</v>
      </c>
      <c r="M47" s="5">
        <f>SalesInventory[[#This Row],[SalesAmount]] - SalesInventory[[#This Row],[Total Cost]]</f>
        <v>400</v>
      </c>
      <c r="N47" s="5" cm="1">
        <f t="array" ref="N47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52</v>
      </c>
      <c r="O47" s="5">
        <f>SalesInventory[[#This Row],[Opening stock]]-SUM(SalesInventory[[#This Row],[Qty_sold]])</f>
        <v>50</v>
      </c>
    </row>
    <row r="48" spans="2:17" x14ac:dyDescent="0.3">
      <c r="B48" s="4">
        <v>45653</v>
      </c>
      <c r="C48" t="s">
        <v>63</v>
      </c>
      <c r="D48" s="5"/>
      <c r="E48" s="5">
        <v>1</v>
      </c>
      <c r="F48" s="5">
        <v>350</v>
      </c>
      <c r="H48" s="5">
        <f>COUNTIF(SalesInventory[Product], SalesInventory[[#This Row],[Product]])</f>
        <v>16</v>
      </c>
      <c r="I48" s="47">
        <f>COUNTIF(INDEX(SalesInventory[Product],1):SalesInventory[[#This Row],[Product]],SalesInventory[[#This Row],[Product]])</f>
        <v>12</v>
      </c>
      <c r="J48" s="47" cm="1">
        <f t="array" ref="J48">INDEX(PriceHistory[Buying Price], MATCH(1, (PriceHistory[Product]=C48)*(B48&gt;=PriceHistory[Start Date])*((B48&lt;=PriceHistory[End Date])+(PriceHistory[End Date]="")), 0))</f>
        <v>215</v>
      </c>
      <c r="K48" s="47" cm="1">
        <f t="array" ref="K48">INDEX(PriceHistory[Selling Price], MATCH(1, (PriceHistory[Product]=C48)*(B48&gt;=PriceHistory[Start Date])*((B48&lt;=PriceHistory[End Date])+(PriceHistory[End Date]="")), 0))</f>
        <v>350</v>
      </c>
      <c r="L48" s="5">
        <f>SUM((SalesInventory[[#This Row],[Qty_sold]]*SalesInventory[[#This Row],[crrntBP]]), SalesInventory[[#This Row],[Transport]])</f>
        <v>215</v>
      </c>
      <c r="M48" s="5">
        <f>SalesInventory[[#This Row],[SalesAmount]] - SalesInventory[[#This Row],[Total Cost]]</f>
        <v>135</v>
      </c>
      <c r="N48" s="5" cm="1">
        <f t="array" ref="N48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12</v>
      </c>
      <c r="O48" s="5">
        <f>SalesInventory[[#This Row],[Opening stock]]-SUM(SalesInventory[[#This Row],[Qty_sold]])</f>
        <v>11</v>
      </c>
    </row>
    <row r="49" spans="2:16" x14ac:dyDescent="0.3">
      <c r="B49" s="4">
        <v>45653</v>
      </c>
      <c r="C49" t="s">
        <v>62</v>
      </c>
      <c r="D49" s="5"/>
      <c r="E49" s="5">
        <v>2</v>
      </c>
      <c r="F49" s="5">
        <v>800</v>
      </c>
      <c r="H49" s="5">
        <f>COUNTIF(SalesInventory[Product], SalesInventory[[#This Row],[Product]])</f>
        <v>12</v>
      </c>
      <c r="I49" s="47">
        <f>COUNTIF(INDEX(SalesInventory[Product],1):SalesInventory[[#This Row],[Product]],SalesInventory[[#This Row],[Product]])</f>
        <v>8</v>
      </c>
      <c r="J49" s="47" cm="1">
        <f t="array" ref="J49">INDEX(PriceHistory[Buying Price], MATCH(1, (PriceHistory[Product]=C49)*(B49&gt;=PriceHistory[Start Date])*((B49&lt;=PriceHistory[End Date])+(PriceHistory[End Date]="")), 0))</f>
        <v>215</v>
      </c>
      <c r="K49" s="47" cm="1">
        <f t="array" ref="K49">INDEX(PriceHistory[Selling Price], MATCH(1, (PriceHistory[Product]=C49)*(B49&gt;=PriceHistory[Start Date])*((B49&lt;=PriceHistory[End Date])+(PriceHistory[End Date]="")), 0))</f>
        <v>400</v>
      </c>
      <c r="L49" s="5">
        <f>SUM((SalesInventory[[#This Row],[Qty_sold]]*SalesInventory[[#This Row],[crrntBP]]), SalesInventory[[#This Row],[Transport]])</f>
        <v>430</v>
      </c>
      <c r="M49" s="5">
        <f>SalesInventory[[#This Row],[SalesAmount]] - SalesInventory[[#This Row],[Total Cost]]</f>
        <v>370</v>
      </c>
      <c r="N49" s="5" cm="1">
        <f t="array" ref="N49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36</v>
      </c>
      <c r="O49" s="5">
        <f>SalesInventory[[#This Row],[Opening stock]]-SUM(SalesInventory[[#This Row],[Qty_sold]])</f>
        <v>34</v>
      </c>
    </row>
    <row r="50" spans="2:16" x14ac:dyDescent="0.3">
      <c r="B50" s="4">
        <v>45657</v>
      </c>
      <c r="C50" t="s">
        <v>61</v>
      </c>
      <c r="D50" s="5"/>
      <c r="E50" s="5">
        <v>9</v>
      </c>
      <c r="F50" s="5">
        <v>3150</v>
      </c>
      <c r="H50" s="5">
        <f>COUNTIF(SalesInventory[Product], SalesInventory[[#This Row],[Product]])</f>
        <v>19</v>
      </c>
      <c r="I50" s="47">
        <f>COUNTIF(INDEX(SalesInventory[Product],1):SalesInventory[[#This Row],[Product]],SalesInventory[[#This Row],[Product]])</f>
        <v>17</v>
      </c>
      <c r="J50" s="47" cm="1">
        <f t="array" ref="J50">INDEX(PriceHistory[Buying Price], MATCH(1, (PriceHistory[Product]=C50)*(B50&gt;=PriceHistory[Start Date])*((B50&lt;=PriceHistory[End Date])+(PriceHistory[End Date]="")), 0))</f>
        <v>150</v>
      </c>
      <c r="K50" s="47" cm="1">
        <f t="array" ref="K50">INDEX(PriceHistory[Selling Price], MATCH(1, (PriceHistory[Product]=C50)*(B50&gt;=PriceHistory[Start Date])*((B50&lt;=PriceHistory[End Date])+(PriceHistory[End Date]="")), 0))</f>
        <v>250</v>
      </c>
      <c r="L50" s="5">
        <f>SUM((SalesInventory[[#This Row],[Qty_sold]]*SalesInventory[[#This Row],[crrntBP]]), SalesInventory[[#This Row],[Transport]])</f>
        <v>1350</v>
      </c>
      <c r="M50" s="5">
        <f>SalesInventory[[#This Row],[SalesAmount]] - SalesInventory[[#This Row],[Total Cost]]</f>
        <v>1800</v>
      </c>
      <c r="N50" s="5" cm="1">
        <f t="array" ref="N50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50</v>
      </c>
      <c r="O50" s="5">
        <f>SalesInventory[[#This Row],[Opening stock]]-SUM(SalesInventory[[#This Row],[Qty_sold]])</f>
        <v>41</v>
      </c>
    </row>
    <row r="51" spans="2:16" x14ac:dyDescent="0.3">
      <c r="B51" s="4">
        <v>45659</v>
      </c>
      <c r="C51" t="s">
        <v>62</v>
      </c>
      <c r="D51" s="5">
        <v>13</v>
      </c>
      <c r="G51" s="5">
        <v>510</v>
      </c>
      <c r="H51" s="5">
        <f>COUNTIF(SalesInventory[Product], SalesInventory[[#This Row],[Product]])</f>
        <v>12</v>
      </c>
      <c r="I51" s="47">
        <f>COUNTIF(INDEX(SalesInventory[Product],1):SalesInventory[[#This Row],[Product]],SalesInventory[[#This Row],[Product]])</f>
        <v>9</v>
      </c>
      <c r="J51" s="47" cm="1">
        <f t="array" ref="J51">INDEX(PriceHistory[Buying Price], MATCH(1, (PriceHistory[Product]=C51)*(B51&gt;=PriceHistory[Start Date])*((B51&lt;=PriceHistory[End Date])+(PriceHistory[End Date]="")), 0))</f>
        <v>215</v>
      </c>
      <c r="K51" s="47" cm="1">
        <f t="array" ref="K51">INDEX(PriceHistory[Selling Price], MATCH(1, (PriceHistory[Product]=C51)*(B51&gt;=PriceHistory[Start Date])*((B51&lt;=PriceHistory[End Date])+(PriceHistory[End Date]="")), 0))</f>
        <v>400</v>
      </c>
      <c r="L51" s="5">
        <f>SUM((SalesInventory[[#This Row],[Qty_sold]]*SalesInventory[[#This Row],[crrntBP]]), SalesInventory[[#This Row],[Transport]])</f>
        <v>510</v>
      </c>
      <c r="M51" s="5">
        <f>SalesInventory[[#This Row],[SalesAmount]] - SalesInventory[[#This Row],[Total Cost]]</f>
        <v>-510</v>
      </c>
      <c r="N51" s="5" cm="1">
        <f t="array" ref="N51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47</v>
      </c>
      <c r="O51" s="5">
        <f>SalesInventory[[#This Row],[Opening stock]]-SUM(SalesInventory[[#This Row],[Qty_sold]])</f>
        <v>47</v>
      </c>
    </row>
    <row r="52" spans="2:16" x14ac:dyDescent="0.3">
      <c r="B52" s="4">
        <v>45659</v>
      </c>
      <c r="C52" t="s">
        <v>63</v>
      </c>
      <c r="D52" s="5">
        <v>8</v>
      </c>
      <c r="H52" s="5">
        <f>COUNTIF(SalesInventory[Product], SalesInventory[[#This Row],[Product]])</f>
        <v>16</v>
      </c>
      <c r="I52" s="47">
        <f>COUNTIF(INDEX(SalesInventory[Product],1):SalesInventory[[#This Row],[Product]],SalesInventory[[#This Row],[Product]])</f>
        <v>13</v>
      </c>
      <c r="J52" s="47" cm="1">
        <f t="array" ref="J52">INDEX(PriceHistory[Buying Price], MATCH(1, (PriceHistory[Product]=C52)*(B52&gt;=PriceHistory[Start Date])*((B52&lt;=PriceHistory[End Date])+(PriceHistory[End Date]="")), 0))</f>
        <v>215</v>
      </c>
      <c r="K52" s="47" cm="1">
        <f t="array" ref="K52">INDEX(PriceHistory[Selling Price], MATCH(1, (PriceHistory[Product]=C52)*(B52&gt;=PriceHistory[Start Date])*((B52&lt;=PriceHistory[End Date])+(PriceHistory[End Date]="")), 0))</f>
        <v>350</v>
      </c>
      <c r="L52" s="5">
        <f>SUM((SalesInventory[[#This Row],[Qty_sold]]*SalesInventory[[#This Row],[crrntBP]]), SalesInventory[[#This Row],[Transport]])</f>
        <v>0</v>
      </c>
      <c r="M52" s="5">
        <f>SalesInventory[[#This Row],[SalesAmount]] - SalesInventory[[#This Row],[Total Cost]]</f>
        <v>0</v>
      </c>
      <c r="N52" s="5" cm="1">
        <f t="array" ref="N52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19</v>
      </c>
      <c r="O52" s="5">
        <f>SalesInventory[[#This Row],[Opening stock]]-SUM(SalesInventory[[#This Row],[Qty_sold]])</f>
        <v>19</v>
      </c>
    </row>
    <row r="53" spans="2:16" x14ac:dyDescent="0.3">
      <c r="B53" s="4">
        <v>45659</v>
      </c>
      <c r="C53" t="s">
        <v>63</v>
      </c>
      <c r="D53" s="5"/>
      <c r="E53" s="5">
        <v>2</v>
      </c>
      <c r="F53" s="5">
        <v>800</v>
      </c>
      <c r="H53" s="5">
        <f>COUNTIF(SalesInventory[Product], SalesInventory[[#This Row],[Product]])</f>
        <v>16</v>
      </c>
      <c r="I53" s="47">
        <f>COUNTIF(INDEX(SalesInventory[Product],1):SalesInventory[[#This Row],[Product]],SalesInventory[[#This Row],[Product]])</f>
        <v>14</v>
      </c>
      <c r="J53" s="47" cm="1">
        <f t="array" ref="J53">INDEX(PriceHistory[Buying Price], MATCH(1, (PriceHistory[Product]=C53)*(B53&gt;=PriceHistory[Start Date])*((B53&lt;=PriceHistory[End Date])+(PriceHistory[End Date]="")), 0))</f>
        <v>215</v>
      </c>
      <c r="K53" s="47" cm="1">
        <f t="array" ref="K53">INDEX(PriceHistory[Selling Price], MATCH(1, (PriceHistory[Product]=C53)*(B53&gt;=PriceHistory[Start Date])*((B53&lt;=PriceHistory[End Date])+(PriceHistory[End Date]="")), 0))</f>
        <v>350</v>
      </c>
      <c r="L53" s="5">
        <f>SUM((SalesInventory[[#This Row],[Qty_sold]]*SalesInventory[[#This Row],[crrntBP]]), SalesInventory[[#This Row],[Transport]])</f>
        <v>430</v>
      </c>
      <c r="M53" s="5">
        <f>SalesInventory[[#This Row],[SalesAmount]] - SalesInventory[[#This Row],[Total Cost]]</f>
        <v>370</v>
      </c>
      <c r="N53" s="5" cm="1">
        <f t="array" ref="N53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19</v>
      </c>
      <c r="O53" s="5">
        <f>SalesInventory[[#This Row],[Opening stock]]-SUM(SalesInventory[[#This Row],[Qty_sold]])</f>
        <v>17</v>
      </c>
    </row>
    <row r="54" spans="2:16" x14ac:dyDescent="0.3">
      <c r="B54" s="4">
        <v>45659</v>
      </c>
      <c r="C54" t="s">
        <v>62</v>
      </c>
      <c r="D54" s="5"/>
      <c r="E54" s="5">
        <v>2</v>
      </c>
      <c r="F54" s="5">
        <v>800</v>
      </c>
      <c r="H54" s="5">
        <f>COUNTIF(SalesInventory[Product], SalesInventory[[#This Row],[Product]])</f>
        <v>12</v>
      </c>
      <c r="I54" s="47">
        <f>COUNTIF(INDEX(SalesInventory[Product],1):SalesInventory[[#This Row],[Product]],SalesInventory[[#This Row],[Product]])</f>
        <v>10</v>
      </c>
      <c r="J54" s="47" cm="1">
        <f t="array" ref="J54">INDEX(PriceHistory[Buying Price], MATCH(1, (PriceHistory[Product]=C54)*(B54&gt;=PriceHistory[Start Date])*((B54&lt;=PriceHistory[End Date])+(PriceHistory[End Date]="")), 0))</f>
        <v>215</v>
      </c>
      <c r="K54" s="47" cm="1">
        <f t="array" ref="K54">INDEX(PriceHistory[Selling Price], MATCH(1, (PriceHistory[Product]=C54)*(B54&gt;=PriceHistory[Start Date])*((B54&lt;=PriceHistory[End Date])+(PriceHistory[End Date]="")), 0))</f>
        <v>400</v>
      </c>
      <c r="L54" s="5">
        <f>SUM((SalesInventory[[#This Row],[Qty_sold]]*SalesInventory[[#This Row],[crrntBP]]), SalesInventory[[#This Row],[Transport]])</f>
        <v>430</v>
      </c>
      <c r="M54" s="5">
        <f>SalesInventory[[#This Row],[SalesAmount]] - SalesInventory[[#This Row],[Total Cost]]</f>
        <v>370</v>
      </c>
      <c r="N54" s="5" cm="1">
        <f t="array" ref="N54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47</v>
      </c>
      <c r="O54" s="5">
        <f>SalesInventory[[#This Row],[Opening stock]]-SUM(SalesInventory[[#This Row],[Qty_sold]])</f>
        <v>45</v>
      </c>
    </row>
    <row r="55" spans="2:16" x14ac:dyDescent="0.3">
      <c r="B55" s="4">
        <v>45660</v>
      </c>
      <c r="C55" t="s">
        <v>63</v>
      </c>
      <c r="D55" s="5"/>
      <c r="E55" s="5">
        <v>1</v>
      </c>
      <c r="F55" s="5">
        <v>400</v>
      </c>
      <c r="H55" s="5">
        <f>COUNTIF(SalesInventory[Product], SalesInventory[[#This Row],[Product]])</f>
        <v>16</v>
      </c>
      <c r="I55" s="47">
        <f>COUNTIF(INDEX(SalesInventory[Product],1):SalesInventory[[#This Row],[Product]],SalesInventory[[#This Row],[Product]])</f>
        <v>15</v>
      </c>
      <c r="J55" s="47" cm="1">
        <f t="array" ref="J55">INDEX(PriceHistory[Buying Price], MATCH(1, (PriceHistory[Product]=C55)*(B55&gt;=PriceHistory[Start Date])*((B55&lt;=PriceHistory[End Date])+(PriceHistory[End Date]="")), 0))</f>
        <v>215</v>
      </c>
      <c r="K55" s="47" cm="1">
        <f t="array" ref="K55">INDEX(PriceHistory[Selling Price], MATCH(1, (PriceHistory[Product]=C55)*(B55&gt;=PriceHistory[Start Date])*((B55&lt;=PriceHistory[End Date])+(PriceHistory[End Date]="")), 0))</f>
        <v>350</v>
      </c>
      <c r="L55" s="5">
        <f>SUM((SalesInventory[[#This Row],[Qty_sold]]*SalesInventory[[#This Row],[crrntBP]]), SalesInventory[[#This Row],[Transport]])</f>
        <v>215</v>
      </c>
      <c r="M55" s="5">
        <f>SalesInventory[[#This Row],[SalesAmount]] - SalesInventory[[#This Row],[Total Cost]]</f>
        <v>185</v>
      </c>
      <c r="N55" s="5" cm="1">
        <f t="array" ref="N55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17</v>
      </c>
      <c r="O55" s="5">
        <f>SalesInventory[[#This Row],[Opening stock]]-SUM(SalesInventory[[#This Row],[Qty_sold]])</f>
        <v>16</v>
      </c>
    </row>
    <row r="56" spans="2:16" x14ac:dyDescent="0.3">
      <c r="B56" s="4">
        <v>45661</v>
      </c>
      <c r="C56" t="s">
        <v>61</v>
      </c>
      <c r="D56" s="5"/>
      <c r="E56" s="5">
        <v>5</v>
      </c>
      <c r="F56" s="5">
        <v>1500</v>
      </c>
      <c r="H56" s="5">
        <f>COUNTIF(SalesInventory[Product], SalesInventory[[#This Row],[Product]])</f>
        <v>19</v>
      </c>
      <c r="I56" s="47">
        <f>COUNTIF(INDEX(SalesInventory[Product],1):SalesInventory[[#This Row],[Product]],SalesInventory[[#This Row],[Product]])</f>
        <v>18</v>
      </c>
      <c r="J56" s="47" cm="1">
        <f t="array" ref="J56">INDEX(PriceHistory[Buying Price], MATCH(1, (PriceHistory[Product]=C56)*(B56&gt;=PriceHistory[Start Date])*((B56&lt;=PriceHistory[End Date])+(PriceHistory[End Date]="")), 0))</f>
        <v>150</v>
      </c>
      <c r="K56" s="47" cm="1">
        <f t="array" ref="K56">INDEX(PriceHistory[Selling Price], MATCH(1, (PriceHistory[Product]=C56)*(B56&gt;=PriceHistory[Start Date])*((B56&lt;=PriceHistory[End Date])+(PriceHistory[End Date]="")), 0))</f>
        <v>250</v>
      </c>
      <c r="L56" s="5">
        <f>SUM((SalesInventory[[#This Row],[Qty_sold]]*SalesInventory[[#This Row],[crrntBP]]), SalesInventory[[#This Row],[Transport]])</f>
        <v>750</v>
      </c>
      <c r="M56" s="5">
        <f>SalesInventory[[#This Row],[SalesAmount]] - SalesInventory[[#This Row],[Total Cost]]</f>
        <v>750</v>
      </c>
      <c r="N56" s="5" cm="1">
        <f t="array" ref="N56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41</v>
      </c>
      <c r="O56" s="5">
        <f>SalesInventory[[#This Row],[Opening stock]]-SUM(SalesInventory[[#This Row],[Qty_sold]])</f>
        <v>36</v>
      </c>
    </row>
    <row r="57" spans="2:16" x14ac:dyDescent="0.3">
      <c r="B57" s="4">
        <v>45662</v>
      </c>
      <c r="C57" t="s">
        <v>62</v>
      </c>
      <c r="D57" s="5"/>
      <c r="E57" s="5">
        <v>4</v>
      </c>
      <c r="F57" s="5">
        <v>1600</v>
      </c>
      <c r="H57" s="5">
        <f>COUNTIF(SalesInventory[Product], SalesInventory[[#This Row],[Product]])</f>
        <v>12</v>
      </c>
      <c r="I57" s="47">
        <f>COUNTIF(INDEX(SalesInventory[Product],1):SalesInventory[[#This Row],[Product]],SalesInventory[[#This Row],[Product]])</f>
        <v>11</v>
      </c>
      <c r="J57" s="47" cm="1">
        <f t="array" ref="J57">INDEX(PriceHistory[Buying Price], MATCH(1, (PriceHistory[Product]=C57)*(B57&gt;=PriceHistory[Start Date])*((B57&lt;=PriceHistory[End Date])+(PriceHistory[End Date]="")), 0))</f>
        <v>215</v>
      </c>
      <c r="K57" s="47" cm="1">
        <f t="array" ref="K57">INDEX(PriceHistory[Selling Price], MATCH(1, (PriceHistory[Product]=C57)*(B57&gt;=PriceHistory[Start Date])*((B57&lt;=PriceHistory[End Date])+(PriceHistory[End Date]="")), 0))</f>
        <v>400</v>
      </c>
      <c r="L57" s="5">
        <f>SUM((SalesInventory[[#This Row],[Qty_sold]]*SalesInventory[[#This Row],[crrntBP]]), SalesInventory[[#This Row],[Transport]])</f>
        <v>860</v>
      </c>
      <c r="M57" s="5">
        <f>SalesInventory[[#This Row],[SalesAmount]] - SalesInventory[[#This Row],[Total Cost]]</f>
        <v>740</v>
      </c>
      <c r="N57" s="5" cm="1">
        <f t="array" ref="N57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45</v>
      </c>
      <c r="O57" s="5">
        <f>SalesInventory[[#This Row],[Opening stock]]-SUM(SalesInventory[[#This Row],[Qty_sold]])</f>
        <v>41</v>
      </c>
    </row>
    <row r="58" spans="2:16" x14ac:dyDescent="0.3">
      <c r="B58" s="4">
        <v>45662</v>
      </c>
      <c r="C58" t="s">
        <v>61</v>
      </c>
      <c r="D58" s="5"/>
      <c r="E58" s="5">
        <v>1</v>
      </c>
      <c r="F58" s="5">
        <v>350</v>
      </c>
      <c r="H58" s="5">
        <f>COUNTIF(SalesInventory[Product], SalesInventory[[#This Row],[Product]])</f>
        <v>19</v>
      </c>
      <c r="I58" s="47">
        <f>COUNTIF(INDEX(SalesInventory[Product],1):SalesInventory[[#This Row],[Product]],SalesInventory[[#This Row],[Product]])</f>
        <v>19</v>
      </c>
      <c r="J58" s="47" cm="1">
        <f t="array" ref="J58">INDEX(PriceHistory[Buying Price], MATCH(1, (PriceHistory[Product]=C58)*(B58&gt;=PriceHistory[Start Date])*((B58&lt;=PriceHistory[End Date])+(PriceHistory[End Date]="")), 0))</f>
        <v>150</v>
      </c>
      <c r="K58" s="47" cm="1">
        <f t="array" ref="K58">INDEX(PriceHistory[Selling Price], MATCH(1, (PriceHistory[Product]=C58)*(B58&gt;=PriceHistory[Start Date])*((B58&lt;=PriceHistory[End Date])+(PriceHistory[End Date]="")), 0))</f>
        <v>250</v>
      </c>
      <c r="L58" s="5">
        <f>SUM((SalesInventory[[#This Row],[Qty_sold]]*SalesInventory[[#This Row],[crrntBP]]), SalesInventory[[#This Row],[Transport]])</f>
        <v>150</v>
      </c>
      <c r="M58" s="5">
        <f>SalesInventory[[#This Row],[SalesAmount]] - SalesInventory[[#This Row],[Total Cost]]</f>
        <v>200</v>
      </c>
      <c r="N58" s="5" cm="1">
        <f t="array" ref="N58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36</v>
      </c>
      <c r="O58" s="5">
        <f>SalesInventory[[#This Row],[Opening stock]]-SUM(SalesInventory[[#This Row],[Qty_sold]])</f>
        <v>35</v>
      </c>
    </row>
    <row r="59" spans="2:16" x14ac:dyDescent="0.3">
      <c r="B59" s="4">
        <v>45663</v>
      </c>
      <c r="C59" t="s">
        <v>63</v>
      </c>
      <c r="D59" s="5"/>
      <c r="E59" s="5">
        <v>1</v>
      </c>
      <c r="F59" s="5">
        <v>320</v>
      </c>
      <c r="H59" s="5">
        <f>COUNTIF(SalesInventory[Product], SalesInventory[[#This Row],[Product]])</f>
        <v>16</v>
      </c>
      <c r="I59" s="47">
        <f>COUNTIF(INDEX(SalesInventory[Product],1):SalesInventory[[#This Row],[Product]],SalesInventory[[#This Row],[Product]])</f>
        <v>16</v>
      </c>
      <c r="J59" s="47" cm="1">
        <f t="array" ref="J59">INDEX(PriceHistory[Buying Price], MATCH(1, (PriceHistory[Product]=C59)*(B59&gt;=PriceHistory[Start Date])*((B59&lt;=PriceHistory[End Date])+(PriceHistory[End Date]="")), 0))</f>
        <v>215</v>
      </c>
      <c r="K59" s="47" cm="1">
        <f t="array" ref="K59">INDEX(PriceHistory[Selling Price], MATCH(1, (PriceHistory[Product]=C59)*(B59&gt;=PriceHistory[Start Date])*((B59&lt;=PriceHistory[End Date])+(PriceHistory[End Date]="")), 0))</f>
        <v>350</v>
      </c>
      <c r="L59" s="5">
        <f>SUM((SalesInventory[[#This Row],[Qty_sold]]*SalesInventory[[#This Row],[crrntBP]]), SalesInventory[[#This Row],[Transport]])</f>
        <v>215</v>
      </c>
      <c r="M59" s="5">
        <f>SalesInventory[[#This Row],[SalesAmount]] - SalesInventory[[#This Row],[Total Cost]]</f>
        <v>105</v>
      </c>
      <c r="N59" s="5" cm="1">
        <f t="array" ref="N59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16</v>
      </c>
      <c r="O59" s="5">
        <f>SalesInventory[[#This Row],[Opening stock]]-SUM(SalesInventory[[#This Row],[Qty_sold]])</f>
        <v>15</v>
      </c>
    </row>
    <row r="60" spans="2:16" x14ac:dyDescent="0.3">
      <c r="B60" s="67">
        <v>45662</v>
      </c>
      <c r="C60" s="68" t="s">
        <v>62</v>
      </c>
      <c r="D60" s="69">
        <v>266</v>
      </c>
      <c r="E60" s="69">
        <v>5</v>
      </c>
      <c r="F60" s="69">
        <v>2000</v>
      </c>
      <c r="G60" s="69">
        <v>500</v>
      </c>
      <c r="H60" s="69" t="e">
        <v>#N/A</v>
      </c>
      <c r="I60" s="70" t="e">
        <v>#N/A</v>
      </c>
      <c r="J60" s="70" t="e">
        <v>#N/A</v>
      </c>
      <c r="K60" s="70" t="e">
        <v>#N/A</v>
      </c>
      <c r="L60" s="69" t="e">
        <f>SUM((SalesInventory[[#This Row],[Qty_sold]]*SalesInventory[[#This Row],[crrntBP]]), SalesInventory[[#This Row],[Transport]])</f>
        <v>#N/A</v>
      </c>
      <c r="M60" s="69" t="e">
        <f>SalesInventory[[#This Row],[SalesAmount]] - SalesInventory[[#This Row],[Total Cost]]</f>
        <v>#N/A</v>
      </c>
      <c r="N60" s="69" t="e" cm="1">
        <f t="array" ref="N60">IF(SalesInventory[[#This Row],[Ocurrence]]= 1, SalesInventory[[#This Row],[Stock In]],
                    INDEX(SalesInventory[[Closing Stock ]], MATCH(1, (SalesInventory[[#This Row],[Product]] = SalesInventory[Product]) * (SalesInventory[Ocurrence]= SalesInventory[[#This Row],[Ocurrence]]- 1), 0)) + SalesInventory[[#This Row],[Stock In]])</f>
        <v>#N/A</v>
      </c>
      <c r="O60" s="69" t="e">
        <f>SalesInventory[[#This Row],[Opening stock]]-SUM(SalesInventory[[#This Row],[Qty_sold]])</f>
        <v>#N/A</v>
      </c>
      <c r="P60" s="69"/>
    </row>
    <row r="61" spans="2:16" x14ac:dyDescent="0.3">
      <c r="B61" s="4"/>
    </row>
    <row r="62" spans="2:16" x14ac:dyDescent="0.3">
      <c r="B62" s="4"/>
    </row>
    <row r="63" spans="2:16" x14ac:dyDescent="0.3">
      <c r="B63" s="4"/>
    </row>
    <row r="64" spans="2:16" x14ac:dyDescent="0.3">
      <c r="B64" s="4"/>
    </row>
    <row r="65" spans="2:2" x14ac:dyDescent="0.3">
      <c r="B65" s="4"/>
    </row>
    <row r="66" spans="2:2" x14ac:dyDescent="0.3">
      <c r="B66" s="4"/>
    </row>
    <row r="67" spans="2:2" x14ac:dyDescent="0.3">
      <c r="B67" s="4"/>
    </row>
    <row r="68" spans="2:2" x14ac:dyDescent="0.3">
      <c r="B68" s="4"/>
    </row>
    <row r="69" spans="2:2" x14ac:dyDescent="0.3">
      <c r="B69" s="4"/>
    </row>
    <row r="70" spans="2:2" x14ac:dyDescent="0.3">
      <c r="B70" s="4"/>
    </row>
    <row r="71" spans="2:2" x14ac:dyDescent="0.3">
      <c r="B71" s="4"/>
    </row>
    <row r="72" spans="2:2" x14ac:dyDescent="0.3">
      <c r="B72" s="4"/>
    </row>
    <row r="73" spans="2:2" x14ac:dyDescent="0.3">
      <c r="B73" s="4"/>
    </row>
    <row r="74" spans="2:2" x14ac:dyDescent="0.3">
      <c r="B74" s="4"/>
    </row>
    <row r="75" spans="2:2" x14ac:dyDescent="0.3">
      <c r="B75" s="4"/>
    </row>
    <row r="76" spans="2:2" x14ac:dyDescent="0.3">
      <c r="B76" s="4"/>
    </row>
    <row r="77" spans="2:2" x14ac:dyDescent="0.3">
      <c r="B77" s="4"/>
    </row>
    <row r="78" spans="2:2" x14ac:dyDescent="0.3">
      <c r="B78" s="4"/>
    </row>
    <row r="79" spans="2:2" x14ac:dyDescent="0.3">
      <c r="B79" s="4"/>
    </row>
    <row r="80" spans="2:2" x14ac:dyDescent="0.3">
      <c r="B80" s="4"/>
    </row>
    <row r="81" spans="2:2" x14ac:dyDescent="0.3">
      <c r="B81" s="4"/>
    </row>
    <row r="82" spans="2:2" x14ac:dyDescent="0.3">
      <c r="B82" s="4"/>
    </row>
    <row r="83" spans="2:2" x14ac:dyDescent="0.3">
      <c r="B83" s="4"/>
    </row>
    <row r="84" spans="2:2" x14ac:dyDescent="0.3">
      <c r="B84" s="4"/>
    </row>
    <row r="85" spans="2:2" x14ac:dyDescent="0.3">
      <c r="B85" s="4"/>
    </row>
    <row r="86" spans="2:2" x14ac:dyDescent="0.3">
      <c r="B86" s="4"/>
    </row>
    <row r="87" spans="2:2" x14ac:dyDescent="0.3">
      <c r="B87" s="4"/>
    </row>
    <row r="88" spans="2:2" x14ac:dyDescent="0.3">
      <c r="B88" s="4"/>
    </row>
    <row r="89" spans="2:2" x14ac:dyDescent="0.3">
      <c r="B89" s="4"/>
    </row>
    <row r="90" spans="2:2" x14ac:dyDescent="0.3">
      <c r="B90" s="4"/>
    </row>
    <row r="91" spans="2:2" x14ac:dyDescent="0.3">
      <c r="B91" s="4"/>
    </row>
    <row r="92" spans="2:2" x14ac:dyDescent="0.3">
      <c r="B92" s="4"/>
    </row>
    <row r="93" spans="2:2" x14ac:dyDescent="0.3">
      <c r="B93" s="4"/>
    </row>
    <row r="94" spans="2:2" x14ac:dyDescent="0.3">
      <c r="B94" s="4"/>
    </row>
    <row r="95" spans="2:2" x14ac:dyDescent="0.3">
      <c r="B95" s="4"/>
    </row>
    <row r="96" spans="2:2" x14ac:dyDescent="0.3">
      <c r="B96" s="4"/>
    </row>
    <row r="97" spans="2:2" x14ac:dyDescent="0.3">
      <c r="B97" s="4"/>
    </row>
    <row r="98" spans="2:2" x14ac:dyDescent="0.3">
      <c r="B98" s="4"/>
    </row>
    <row r="99" spans="2:2" x14ac:dyDescent="0.3">
      <c r="B99" s="4"/>
    </row>
    <row r="100" spans="2:2" x14ac:dyDescent="0.3">
      <c r="B100" s="4"/>
    </row>
    <row r="101" spans="2:2" x14ac:dyDescent="0.3">
      <c r="B101" s="4"/>
    </row>
    <row r="102" spans="2:2" x14ac:dyDescent="0.3">
      <c r="B102" s="4"/>
    </row>
    <row r="103" spans="2:2" x14ac:dyDescent="0.3">
      <c r="B103" s="4"/>
    </row>
    <row r="104" spans="2:2" x14ac:dyDescent="0.3">
      <c r="B104" s="4"/>
    </row>
    <row r="105" spans="2:2" x14ac:dyDescent="0.3">
      <c r="B105" s="4"/>
    </row>
    <row r="106" spans="2:2" x14ac:dyDescent="0.3">
      <c r="B106" s="4"/>
    </row>
    <row r="107" spans="2:2" x14ac:dyDescent="0.3">
      <c r="B107" s="4"/>
    </row>
    <row r="108" spans="2:2" x14ac:dyDescent="0.3">
      <c r="B108" s="4"/>
    </row>
    <row r="109" spans="2:2" x14ac:dyDescent="0.3">
      <c r="B109" s="4"/>
    </row>
    <row r="110" spans="2:2" x14ac:dyDescent="0.3">
      <c r="B110" s="4"/>
    </row>
    <row r="111" spans="2:2" x14ac:dyDescent="0.3">
      <c r="B111" s="4"/>
    </row>
    <row r="112" spans="2:2" x14ac:dyDescent="0.3">
      <c r="B112" s="4"/>
    </row>
    <row r="113" spans="2:2" x14ac:dyDescent="0.3">
      <c r="B113" s="4"/>
    </row>
    <row r="114" spans="2:2" x14ac:dyDescent="0.3">
      <c r="B114" s="4"/>
    </row>
    <row r="115" spans="2:2" x14ac:dyDescent="0.3">
      <c r="B115" s="4"/>
    </row>
    <row r="116" spans="2:2" x14ac:dyDescent="0.3">
      <c r="B116" s="4"/>
    </row>
    <row r="117" spans="2:2" x14ac:dyDescent="0.3">
      <c r="B117" s="4"/>
    </row>
    <row r="118" spans="2:2" x14ac:dyDescent="0.3">
      <c r="B118" s="4"/>
    </row>
    <row r="119" spans="2:2" x14ac:dyDescent="0.3">
      <c r="B119" s="4"/>
    </row>
    <row r="120" spans="2:2" x14ac:dyDescent="0.3">
      <c r="B120" s="4"/>
    </row>
    <row r="121" spans="2:2" x14ac:dyDescent="0.3">
      <c r="B121" s="4"/>
    </row>
    <row r="122" spans="2:2" x14ac:dyDescent="0.3">
      <c r="B122" s="4"/>
    </row>
    <row r="123" spans="2:2" x14ac:dyDescent="0.3">
      <c r="B123" s="4"/>
    </row>
    <row r="124" spans="2:2" x14ac:dyDescent="0.3">
      <c r="B124" s="4"/>
    </row>
    <row r="125" spans="2:2" x14ac:dyDescent="0.3">
      <c r="B125" s="4"/>
    </row>
    <row r="126" spans="2:2" x14ac:dyDescent="0.3">
      <c r="B126" s="4"/>
    </row>
    <row r="127" spans="2:2" x14ac:dyDescent="0.3">
      <c r="B127" s="4"/>
    </row>
    <row r="128" spans="2:2" x14ac:dyDescent="0.3">
      <c r="B128" s="4"/>
    </row>
    <row r="129" spans="2:2" x14ac:dyDescent="0.3">
      <c r="B129" s="4"/>
    </row>
    <row r="130" spans="2:2" x14ac:dyDescent="0.3">
      <c r="B130" s="4"/>
    </row>
    <row r="131" spans="2:2" x14ac:dyDescent="0.3">
      <c r="B131" s="4"/>
    </row>
    <row r="132" spans="2:2" x14ac:dyDescent="0.3">
      <c r="B132" s="4"/>
    </row>
    <row r="133" spans="2:2" x14ac:dyDescent="0.3">
      <c r="B133" s="4"/>
    </row>
    <row r="134" spans="2:2" x14ac:dyDescent="0.3">
      <c r="B134" s="4"/>
    </row>
    <row r="135" spans="2:2" x14ac:dyDescent="0.3">
      <c r="B135" s="4"/>
    </row>
    <row r="136" spans="2:2" x14ac:dyDescent="0.3">
      <c r="B136" s="4"/>
    </row>
    <row r="137" spans="2:2" x14ac:dyDescent="0.3">
      <c r="B137" s="4"/>
    </row>
    <row r="138" spans="2:2" x14ac:dyDescent="0.3">
      <c r="B138" s="4"/>
    </row>
    <row r="139" spans="2:2" x14ac:dyDescent="0.3">
      <c r="B139" s="4"/>
    </row>
    <row r="140" spans="2:2" x14ac:dyDescent="0.3">
      <c r="B140" s="4"/>
    </row>
    <row r="141" spans="2:2" x14ac:dyDescent="0.3">
      <c r="B141" s="4"/>
    </row>
    <row r="142" spans="2:2" x14ac:dyDescent="0.3">
      <c r="B142" s="4"/>
    </row>
    <row r="143" spans="2:2" x14ac:dyDescent="0.3">
      <c r="B143" s="4"/>
    </row>
    <row r="144" spans="2:2" x14ac:dyDescent="0.3">
      <c r="B144" s="4"/>
    </row>
    <row r="145" spans="2:2" x14ac:dyDescent="0.3">
      <c r="B145" s="4"/>
    </row>
    <row r="146" spans="2:2" x14ac:dyDescent="0.3">
      <c r="B146" s="4"/>
    </row>
    <row r="147" spans="2:2" x14ac:dyDescent="0.3">
      <c r="B147" s="4"/>
    </row>
    <row r="148" spans="2:2" x14ac:dyDescent="0.3">
      <c r="B148" s="4"/>
    </row>
    <row r="149" spans="2:2" x14ac:dyDescent="0.3">
      <c r="B149" s="4"/>
    </row>
    <row r="150" spans="2:2" x14ac:dyDescent="0.3">
      <c r="B150" s="4"/>
    </row>
  </sheetData>
  <mergeCells count="2">
    <mergeCell ref="B1:E1"/>
    <mergeCell ref="O4:P4"/>
  </mergeCells>
  <phoneticPr fontId="1" type="noConversion"/>
  <conditionalFormatting sqref="B20">
    <cfRule type="expression" dxfId="21" priority="6">
      <formula>ISBLANK(B20)</formula>
    </cfRule>
  </conditionalFormatting>
  <conditionalFormatting sqref="M10:M60">
    <cfRule type="cellIs" dxfId="20" priority="4" operator="greaterThan">
      <formula>0</formula>
    </cfRule>
    <cfRule type="cellIs" dxfId="19" priority="5" operator="lessThan">
      <formula>0</formula>
    </cfRule>
  </conditionalFormatting>
  <conditionalFormatting sqref="C8">
    <cfRule type="cellIs" dxfId="18" priority="1" operator="greaterThan">
      <formula>0</formula>
    </cfRule>
    <cfRule type="cellIs" dxfId="17" priority="2" operator="lessThan">
      <formula>0</formula>
    </cfRule>
  </conditionalFormatting>
  <dataValidations count="1">
    <dataValidation type="list" allowBlank="1" showInputMessage="1" showErrorMessage="1" sqref="C6 C10:C60" xr:uid="{DCC7757A-CAFC-41E2-86F8-E008F0E420DB}">
      <formula1>ProductNames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948F0-02C9-4C3B-85E3-365D2599370C}">
  <sheetPr codeName="Sheet5"/>
  <dimension ref="B1:AL15"/>
  <sheetViews>
    <sheetView showGridLines="0" zoomScale="80" zoomScaleNormal="80" workbookViewId="0">
      <selection activeCell="W20" sqref="W20"/>
    </sheetView>
  </sheetViews>
  <sheetFormatPr defaultRowHeight="14.4" x14ac:dyDescent="0.3"/>
  <cols>
    <col min="1" max="1" width="1.77734375" customWidth="1"/>
    <col min="2" max="2" width="11.77734375" style="25" hidden="1" customWidth="1"/>
    <col min="3" max="3" width="11.5546875" style="47" hidden="1" customWidth="1"/>
    <col min="4" max="4" width="10.5546875" style="25" hidden="1" customWidth="1"/>
    <col min="5" max="5" width="9.33203125" style="25" hidden="1" customWidth="1"/>
    <col min="6" max="6" width="6.6640625" style="25" hidden="1" customWidth="1"/>
    <col min="7" max="7" width="10.5546875" style="24" hidden="1" customWidth="1"/>
    <col min="8" max="8" width="9.88671875" style="24" hidden="1" customWidth="1"/>
    <col min="9" max="9" width="9.21875" style="24" hidden="1" customWidth="1"/>
    <col min="10" max="10" width="11" style="24" hidden="1" customWidth="1"/>
    <col min="11" max="11" width="16.21875" style="24" hidden="1" customWidth="1"/>
    <col min="12" max="12" width="22.77734375" style="24" hidden="1" customWidth="1"/>
    <col min="13" max="13" width="14" style="24" hidden="1" customWidth="1"/>
    <col min="14" max="14" width="12.33203125" style="24" customWidth="1"/>
    <col min="15" max="15" width="8.88671875" style="24" bestFit="1" customWidth="1"/>
    <col min="16" max="16" width="8.77734375" bestFit="1" customWidth="1"/>
    <col min="17" max="17" width="8" customWidth="1"/>
    <col min="18" max="18" width="5.33203125" bestFit="1" customWidth="1"/>
    <col min="19" max="19" width="4.6640625" customWidth="1"/>
    <col min="20" max="20" width="17.6640625" bestFit="1" customWidth="1"/>
    <col min="21" max="21" width="4.6640625" customWidth="1"/>
    <col min="34" max="34" width="14.44140625" customWidth="1"/>
    <col min="37" max="37" width="16.6640625" customWidth="1"/>
    <col min="39" max="39" width="13.33203125" bestFit="1" customWidth="1"/>
    <col min="42" max="42" width="15.21875" bestFit="1" customWidth="1"/>
  </cols>
  <sheetData>
    <row r="1" spans="2:38" s="2" customFormat="1" ht="25.8" x14ac:dyDescent="0.3">
      <c r="B1" s="60" t="s">
        <v>14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</row>
    <row r="2" spans="2:38" s="2" customFormat="1" x14ac:dyDescent="0.3"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21"/>
      <c r="N2" s="21"/>
      <c r="O2" s="21"/>
      <c r="AG2" s="50" t="s">
        <v>38</v>
      </c>
      <c r="AH2" s="51">
        <v>2024</v>
      </c>
      <c r="AJ2" s="50" t="s">
        <v>40</v>
      </c>
      <c r="AK2" s="57">
        <v>36861</v>
      </c>
    </row>
    <row r="3" spans="2:38" s="2" customFormat="1" ht="19.8" customHeight="1" x14ac:dyDescent="0.3"/>
    <row r="4" spans="2:38" s="2" customFormat="1" x14ac:dyDescent="0.3"/>
    <row r="5" spans="2:38" x14ac:dyDescent="0.3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</row>
    <row r="6" spans="2:38" x14ac:dyDescent="0.3">
      <c r="B6"/>
      <c r="C6"/>
      <c r="D6"/>
      <c r="E6"/>
      <c r="F6"/>
      <c r="G6"/>
      <c r="H6"/>
      <c r="I6"/>
      <c r="J6"/>
      <c r="K6"/>
      <c r="L6"/>
    </row>
    <row r="7" spans="2:38" x14ac:dyDescent="0.3">
      <c r="B7"/>
      <c r="C7"/>
      <c r="D7"/>
      <c r="E7"/>
      <c r="F7"/>
      <c r="G7"/>
      <c r="H7"/>
      <c r="I7"/>
      <c r="J7"/>
      <c r="K7"/>
      <c r="L7"/>
    </row>
    <row r="8" spans="2:38" x14ac:dyDescent="0.3">
      <c r="C8" s="25"/>
      <c r="G8" s="25"/>
      <c r="H8" s="25"/>
      <c r="I8" s="25"/>
      <c r="J8" s="25"/>
      <c r="K8" s="25"/>
      <c r="L8" s="25"/>
    </row>
    <row r="9" spans="2:38" x14ac:dyDescent="0.3">
      <c r="C9" s="25"/>
      <c r="G9" s="25"/>
      <c r="H9" s="25"/>
      <c r="I9" s="25"/>
      <c r="J9" s="25"/>
      <c r="K9" s="25"/>
      <c r="L9" s="25"/>
    </row>
    <row r="10" spans="2:38" x14ac:dyDescent="0.3">
      <c r="C10" s="25"/>
      <c r="G10" s="25"/>
      <c r="H10" s="25"/>
      <c r="I10" s="25"/>
      <c r="J10" s="25"/>
      <c r="K10" s="25"/>
      <c r="L10" s="25"/>
      <c r="N10" s="62" t="str">
        <f>"Breakdown - " &amp; IF(selected_period="Total Year", selected_year &amp; " (Total Year) ", selected_period_display &amp; " " &amp; selected_year)</f>
        <v>Breakdown - December 2024</v>
      </c>
      <c r="O10" s="62"/>
      <c r="P10" s="62"/>
      <c r="Q10" s="62"/>
      <c r="R10" s="62"/>
      <c r="T10" s="2"/>
      <c r="V10" s="61" t="str">
        <f>"Summary - " &amp; IF(selected_period="Total Year", selected_year &amp; " (Total Year) ", selected_period_display &amp; " " &amp; selected_year)</f>
        <v>Summary - December 2024</v>
      </c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</row>
    <row r="11" spans="2:38" x14ac:dyDescent="0.3">
      <c r="B11" s="29" t="s">
        <v>29</v>
      </c>
      <c r="C11" s="29" t="s">
        <v>50</v>
      </c>
      <c r="D11" s="29" t="s">
        <v>51</v>
      </c>
      <c r="E11" s="29" t="s">
        <v>52</v>
      </c>
      <c r="F11" s="29" t="s">
        <v>2</v>
      </c>
      <c r="G11" s="29" t="s">
        <v>53</v>
      </c>
      <c r="H11" s="29" t="s">
        <v>54</v>
      </c>
      <c r="I11" s="29" t="s">
        <v>55</v>
      </c>
      <c r="J11" s="29" t="s">
        <v>56</v>
      </c>
      <c r="K11" s="29" t="s">
        <v>57</v>
      </c>
      <c r="L11" s="29" t="s">
        <v>58</v>
      </c>
      <c r="M11" s="31" t="s">
        <v>30</v>
      </c>
      <c r="N11" s="31" t="s">
        <v>29</v>
      </c>
      <c r="O11" s="31" t="s">
        <v>59</v>
      </c>
      <c r="P11" s="31" t="s">
        <v>35</v>
      </c>
      <c r="Q11" s="31" t="s">
        <v>52</v>
      </c>
      <c r="R11" s="31" t="s">
        <v>2</v>
      </c>
      <c r="T11" s="30" t="s">
        <v>31</v>
      </c>
    </row>
    <row r="12" spans="2:38" x14ac:dyDescent="0.3">
      <c r="B12" s="25" t="str" cm="1">
        <f t="array" ref="B12:B15">_xlfn.UNIQUE(SalesInventory[Product])</f>
        <v>Item1</v>
      </c>
      <c r="C12" s="47" cm="1">
        <f t="array" ref="C12">IF(
    selected_period="Total Year",
    SUM(SalesInventory[Qty_sold] * (SalesInventory[Product] = $B12) * (YEAR(SalesInventory[Date]) = selected_year)),
    SUM(SalesInventory[Qty_sold] * (SalesInventory[Product] = $B12) * (YEAR(SalesInventory[Date]) = selected_year) * (MONTH(SalesInventory[Date]) = selected_period))
)</f>
        <v>16</v>
      </c>
      <c r="D12" s="25" t="e" cm="1">
        <f t="array" ref="D12">IF(
    selected_period="Total Year",
    SUM(SalesInventory[Total Cost] * (SalesInventory[Product] = $B12) * (YEAR(SalesInventory[Date]) = selected_year)),
    SUM(SalesInventory[Total Cost] * (SalesInventory[Product] = $B12) * (YEAR(SalesInventory[Date]) = selected_year) * (MONTH(SalesInventory[Date]) = selected_period))
)</f>
        <v>#N/A</v>
      </c>
      <c r="E12" s="25" cm="1">
        <f t="array" ref="E12">IF(
    selected_period="Total Year",
    SUM(SalesInventory[SalesAmount] * (SalesInventory[Product] = $B12) * (YEAR(SalesInventory[Date]) = selected_year)),
    SUM(SalesInventory[SalesAmount] * (SalesInventory[Product] = $B12) * (YEAR(SalesInventory[Date]) = selected_year) * (MONTH(SalesInventory[Date]) = selected_period))
)</f>
        <v>5450</v>
      </c>
      <c r="F12" s="25" t="e">
        <f>E12-D12</f>
        <v>#N/A</v>
      </c>
      <c r="G12" s="24">
        <f>_xlfn.RANK.EQ($C12, $C$12:$C$1000, 0)</f>
        <v>1</v>
      </c>
      <c r="H12" s="24" t="e">
        <f>_xlfn.RANK.EQ($D12, $D$12:$D$1000, 0)</f>
        <v>#N/A</v>
      </c>
      <c r="I12" s="24">
        <f>_xlfn.RANK.EQ($E12, $E$12:$E$1000, 0)</f>
        <v>1</v>
      </c>
      <c r="J12" s="24" t="e">
        <f>_xlfn.NUMBERVALUE(G12&amp;H12&amp;I12)</f>
        <v>#N/A</v>
      </c>
      <c r="K12" s="24" t="e">
        <f>RANK($J12,$J$12:$J1000,1)</f>
        <v>#N/A</v>
      </c>
      <c r="L12" s="24" t="e">
        <f>$K12+COUNTIF($K$12:$K1000,$K12)-1</f>
        <v>#N/A</v>
      </c>
      <c r="M12" s="24">
        <f>_xlfn.MAXIFS(SalesInventory[Ocurrence], SalesInventory[Product], $N12)</f>
        <v>0</v>
      </c>
      <c r="N12" s="24" t="e">
        <f>INDEX($B$12:$B$1001, MATCH(SMALL($L$12:$L$1001, ROW(A1)), $L$12:$L$1001, 0))</f>
        <v>#N/A</v>
      </c>
      <c r="O12" s="24" t="e" cm="1">
        <f t="array" ref="O12">INDEX($C$12:$C1001, MATCH($N12, $B$12:$B1001, 0),0)</f>
        <v>#N/A</v>
      </c>
      <c r="P12" s="24" t="e" cm="1">
        <f t="array" ref="P12">INDEX($D$12:$D1001, MATCH($N12, $B$12:$B1001, 0),0)</f>
        <v>#N/A</v>
      </c>
      <c r="Q12" s="24" t="e" cm="1">
        <f t="array" ref="Q12">INDEX($E$12:$E1001, MATCH($N12, $B$12:$B1001, 0),0)</f>
        <v>#N/A</v>
      </c>
      <c r="R12" s="24" t="e" cm="1">
        <f t="array" ref="R12">INDEX($F$12:$F1001, MATCH($N12, $B$12:$B1001, 0),0)</f>
        <v>#N/A</v>
      </c>
      <c r="T12" s="24" t="e" cm="1">
        <f t="array" ref="T12">INDEX(SalesInventory[[Closing Stock ]],MATCH(1, (SalesInventory[Product]=$N12)*(SalesInventory[Ocurrence]=M12), 0))</f>
        <v>#N/A</v>
      </c>
    </row>
    <row r="13" spans="2:38" x14ac:dyDescent="0.3">
      <c r="B13" s="25" t="str">
        <v>Item2</v>
      </c>
      <c r="C13" s="47" cm="1">
        <f t="array" ref="C13">IF(
    selected_period="Total Year",
    SUM(SalesInventory[Qty_sold] * (SalesInventory[Product] = $B13) * (YEAR(SalesInventory[Date]) = selected_year)),
    SUM(SalesInventory[Qty_sold] * (SalesInventory[Product] = $B13) * (YEAR(SalesInventory[Date]) = selected_year) * (MONTH(SalesInventory[Date]) = selected_period))
)</f>
        <v>7</v>
      </c>
      <c r="D13" s="25" t="e" cm="1">
        <f t="array" ref="D13">IF(
    selected_period="Total Year",
    SUM(SalesInventory[Total Cost] * (SalesInventory[Product] = $B13) * (YEAR(SalesInventory[Date]) = selected_year)),
    SUM(SalesInventory[Total Cost] * (SalesInventory[Product] = $B13) * (YEAR(SalesInventory[Date]) = selected_year) * (MONTH(SalesInventory[Date]) = selected_period))
)</f>
        <v>#N/A</v>
      </c>
      <c r="E13" s="25" cm="1">
        <f t="array" ref="E13">IF(
    selected_period="Total Year",
    SUM(SalesInventory[SalesAmount] * (SalesInventory[Product] = $B13) * (YEAR(SalesInventory[Date]) = selected_year)),
    SUM(SalesInventory[SalesAmount] * (SalesInventory[Product] = $B13) * (YEAR(SalesInventory[Date]) = selected_year) * (MONTH(SalesInventory[Date]) = selected_period))
)</f>
        <v>2900</v>
      </c>
      <c r="F13" s="25" t="e">
        <f t="shared" ref="F13:F15" si="0">E13-D13</f>
        <v>#N/A</v>
      </c>
      <c r="G13" s="24">
        <f t="shared" ref="G13:G15" si="1">_xlfn.RANK.EQ($C13, $C$12:$C$1000, 0)</f>
        <v>3</v>
      </c>
      <c r="H13" s="24" t="e">
        <f t="shared" ref="H13:H15" si="2">_xlfn.RANK.EQ($D13, $D$12:$D$1000, 0)</f>
        <v>#N/A</v>
      </c>
      <c r="I13" s="24">
        <f t="shared" ref="I13:I15" si="3">_xlfn.RANK.EQ($E13, $E$12:$E$1000, 0)</f>
        <v>3</v>
      </c>
      <c r="J13" s="24" t="e">
        <f t="shared" ref="J13:J15" si="4">_xlfn.NUMBERVALUE(G13&amp;H13&amp;I13)</f>
        <v>#N/A</v>
      </c>
      <c r="K13" s="24" t="e">
        <f>RANK($J13,$J$12:$J1001,1)</f>
        <v>#N/A</v>
      </c>
      <c r="L13" s="24" t="e">
        <f>$K13+COUNTIF($K$12:$K1001,$K13)-1</f>
        <v>#N/A</v>
      </c>
      <c r="M13" s="24">
        <f>_xlfn.MAXIFS(SalesInventory[Ocurrence], SalesInventory[Product], $N13)</f>
        <v>0</v>
      </c>
      <c r="N13" s="24" t="e">
        <f>INDEX($B$12:$B$1001, MATCH(SMALL($L$12:$L$1001, ROW(A2)), $L$12:$L$1001, 0))</f>
        <v>#N/A</v>
      </c>
      <c r="O13" s="24" t="e" cm="1">
        <f t="array" ref="O13">INDEX($C$12:$C1002, MATCH($N13, $B$12:$B1002, 0),0)</f>
        <v>#N/A</v>
      </c>
      <c r="P13" s="24" t="e" cm="1">
        <f t="array" ref="P13">INDEX($D$12:$D1002, MATCH($N13, $B$12:$B1002, 0),0)</f>
        <v>#N/A</v>
      </c>
      <c r="Q13" s="24" t="e" cm="1">
        <f t="array" ref="Q13">INDEX($E$12:$E1002, MATCH($N13, $B$12:$B1002, 0),0)</f>
        <v>#N/A</v>
      </c>
      <c r="R13" s="24" t="e" cm="1">
        <f t="array" ref="R13">INDEX($F$12:$F1002, MATCH($N13, $B$12:$B1002, 0),0)</f>
        <v>#N/A</v>
      </c>
      <c r="T13" s="24" t="e" cm="1">
        <f t="array" ref="T13">INDEX(SalesInventory[[Closing Stock ]],MATCH(1, (SalesInventory[Product]=$N13)*(SalesInventory[Ocurrence]=M13), 0))</f>
        <v>#N/A</v>
      </c>
    </row>
    <row r="14" spans="2:38" x14ac:dyDescent="0.3">
      <c r="B14" s="25" t="str">
        <v>Item3</v>
      </c>
      <c r="C14" s="47" cm="1">
        <f t="array" ref="C14">IF(
    selected_period="Total Year",
    SUM(SalesInventory[Qty_sold] * (SalesInventory[Product] = $B14) * (YEAR(SalesInventory[Date]) = selected_year)),
    SUM(SalesInventory[Qty_sold] * (SalesInventory[Product] = $B14) * (YEAR(SalesInventory[Date]) = selected_year) * (MONTH(SalesInventory[Date]) = selected_period))
)</f>
        <v>9</v>
      </c>
      <c r="D14" s="25" t="e" cm="1">
        <f t="array" ref="D14">IF(
    selected_period="Total Year",
    SUM(SalesInventory[Total Cost] * (SalesInventory[Product] = $B14) * (YEAR(SalesInventory[Date]) = selected_year)),
    SUM(SalesInventory[Total Cost] * (SalesInventory[Product] = $B14) * (YEAR(SalesInventory[Date]) = selected_year) * (MONTH(SalesInventory[Date]) = selected_period))
)</f>
        <v>#N/A</v>
      </c>
      <c r="E14" s="25" cm="1">
        <f t="array" ref="E14">IF(
    selected_period="Total Year",
    SUM(SalesInventory[SalesAmount] * (SalesInventory[Product] = $B14) * (YEAR(SalesInventory[Date]) = selected_year)),
    SUM(SalesInventory[SalesAmount] * (SalesInventory[Product] = $B14) * (YEAR(SalesInventory[Date]) = selected_year) * (MONTH(SalesInventory[Date]) = selected_period))
)</f>
        <v>3450</v>
      </c>
      <c r="F14" s="25" t="e">
        <f t="shared" si="0"/>
        <v>#N/A</v>
      </c>
      <c r="G14" s="24">
        <f t="shared" si="1"/>
        <v>2</v>
      </c>
      <c r="H14" s="24" t="e">
        <f t="shared" si="2"/>
        <v>#N/A</v>
      </c>
      <c r="I14" s="24">
        <f t="shared" si="3"/>
        <v>2</v>
      </c>
      <c r="J14" s="24" t="e">
        <f t="shared" si="4"/>
        <v>#N/A</v>
      </c>
      <c r="K14" s="24" t="e">
        <f>RANK($J14,$J$12:$J1002,1)</f>
        <v>#N/A</v>
      </c>
      <c r="L14" s="24" t="e">
        <f>$K14+COUNTIF($K$12:$K1002,$K14)-1</f>
        <v>#N/A</v>
      </c>
      <c r="M14" s="24">
        <f>_xlfn.MAXIFS(SalesInventory[Ocurrence], SalesInventory[Product], $N14)</f>
        <v>0</v>
      </c>
      <c r="N14" s="24" t="e">
        <f>INDEX($B$12:$B$1001, MATCH(SMALL($L$12:$L$1001, ROW(A3)), $L$12:$L$1001, 0))</f>
        <v>#N/A</v>
      </c>
      <c r="O14" s="24" t="e" cm="1">
        <f t="array" ref="O14">INDEX($C$12:$C1003, MATCH($N14, $B$12:$B1003, 0),0)</f>
        <v>#N/A</v>
      </c>
      <c r="P14" s="24" t="e" cm="1">
        <f t="array" ref="P14">INDEX($D$12:$D1003, MATCH($N14, $B$12:$B1003, 0),0)</f>
        <v>#N/A</v>
      </c>
      <c r="Q14" s="24" t="e" cm="1">
        <f t="array" ref="Q14">INDEX($E$12:$E1003, MATCH($N14, $B$12:$B1003, 0),0)</f>
        <v>#N/A</v>
      </c>
      <c r="R14" s="24" t="e" cm="1">
        <f t="array" ref="R14">INDEX($F$12:$F1003, MATCH($N14, $B$12:$B1003, 0),0)</f>
        <v>#N/A</v>
      </c>
      <c r="T14" s="24" t="e" cm="1">
        <f t="array" ref="T14">INDEX(SalesInventory[[Closing Stock ]],MATCH(1, (SalesInventory[Product]=$N14)*(SalesInventory[Ocurrence]=M14), 0))</f>
        <v>#N/A</v>
      </c>
    </row>
    <row r="15" spans="2:38" x14ac:dyDescent="0.3">
      <c r="B15" s="25" t="str">
        <v>Item4</v>
      </c>
      <c r="C15" s="47" cm="1">
        <f t="array" ref="C15">IF(
    selected_period="Total Year",
    SUM(SalesInventory[Qty_sold] * (SalesInventory[Product] = $B15) * (YEAR(SalesInventory[Date]) = selected_year)),
    SUM(SalesInventory[Qty_sold] * (SalesInventory[Product] = $B15) * (YEAR(SalesInventory[Date]) = selected_year) * (MONTH(SalesInventory[Date]) = selected_period))
)</f>
        <v>0</v>
      </c>
      <c r="D15" s="25" t="e" cm="1">
        <f t="array" ref="D15">IF(
    selected_period="Total Year",
    SUM(SalesInventory[Total Cost] * (SalesInventory[Product] = $B15) * (YEAR(SalesInventory[Date]) = selected_year)),
    SUM(SalesInventory[Total Cost] * (SalesInventory[Product] = $B15) * (YEAR(SalesInventory[Date]) = selected_year) * (MONTH(SalesInventory[Date]) = selected_period))
)</f>
        <v>#N/A</v>
      </c>
      <c r="E15" s="25" cm="1">
        <f t="array" ref="E15">IF(
    selected_period="Total Year",
    SUM(SalesInventory[SalesAmount] * (SalesInventory[Product] = $B15) * (YEAR(SalesInventory[Date]) = selected_year)),
    SUM(SalesInventory[SalesAmount] * (SalesInventory[Product] = $B15) * (YEAR(SalesInventory[Date]) = selected_year) * (MONTH(SalesInventory[Date]) = selected_period))
)</f>
        <v>0</v>
      </c>
      <c r="F15" s="25" t="e">
        <f t="shared" si="0"/>
        <v>#N/A</v>
      </c>
      <c r="G15" s="24">
        <f t="shared" si="1"/>
        <v>4</v>
      </c>
      <c r="H15" s="24" t="e">
        <f t="shared" si="2"/>
        <v>#N/A</v>
      </c>
      <c r="I15" s="24">
        <f t="shared" si="3"/>
        <v>4</v>
      </c>
      <c r="J15" s="24" t="e">
        <f t="shared" si="4"/>
        <v>#N/A</v>
      </c>
      <c r="K15" s="24" t="e">
        <f>RANK($J15,$J$12:$J1003,1)</f>
        <v>#N/A</v>
      </c>
      <c r="L15" s="24" t="e">
        <f>$K15+COUNTIF($K$12:$K1003,$K15)-1</f>
        <v>#N/A</v>
      </c>
      <c r="M15" s="24">
        <f>_xlfn.MAXIFS(SalesInventory[Ocurrence], SalesInventory[Product], $N15)</f>
        <v>0</v>
      </c>
      <c r="N15" s="24" t="e">
        <f>INDEX($B$12:$B$1001, MATCH(SMALL($L$12:$L$1001, ROW(A4)), $L$12:$L$1001, 0))</f>
        <v>#N/A</v>
      </c>
      <c r="O15" s="24" t="e" cm="1">
        <f t="array" ref="O15">INDEX($C$12:$C1004, MATCH($N15, $B$12:$B1004, 0),0)</f>
        <v>#N/A</v>
      </c>
      <c r="P15" s="24" t="e" cm="1">
        <f t="array" ref="P15">INDEX($D$12:$D1004, MATCH($N15, $B$12:$B1004, 0),0)</f>
        <v>#N/A</v>
      </c>
      <c r="Q15" s="24" t="e" cm="1">
        <f t="array" ref="Q15">INDEX($E$12:$E1004, MATCH($N15, $B$12:$B1004, 0),0)</f>
        <v>#N/A</v>
      </c>
      <c r="R15" s="24" t="e" cm="1">
        <f t="array" ref="R15">INDEX($F$12:$F1004, MATCH($N15, $B$12:$B1004, 0),0)</f>
        <v>#N/A</v>
      </c>
      <c r="T15" s="24" t="e" cm="1">
        <f t="array" ref="T15">INDEX(SalesInventory[[Closing Stock ]],MATCH(1, (SalesInventory[Product]=$N15)*(SalesInventory[Ocurrence]=M15), 0))</f>
        <v>#N/A</v>
      </c>
    </row>
  </sheetData>
  <mergeCells count="3">
    <mergeCell ref="B1:O1"/>
    <mergeCell ref="V10:AL10"/>
    <mergeCell ref="N10:R10"/>
  </mergeCells>
  <dataValidations count="2">
    <dataValidation type="list" allowBlank="1" showInputMessage="1" showErrorMessage="1" sqref="AH2" xr:uid="{D2CA526C-5262-4428-B39A-7A7F85A0E117}">
      <formula1>YearOptions</formula1>
    </dataValidation>
    <dataValidation type="list" allowBlank="1" showInputMessage="1" showErrorMessage="1" sqref="AK2" xr:uid="{F8BBDE61-5448-4EB8-AA5C-140D47EA71F7}">
      <formula1>PeriodOptions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85A20-580C-4C02-85F6-D1890BDD1C96}">
  <sheetPr codeName="Sheet7"/>
  <dimension ref="B1:J23"/>
  <sheetViews>
    <sheetView showGridLines="0" zoomScale="80" zoomScaleNormal="80" workbookViewId="0">
      <selection activeCell="H25" sqref="H25"/>
    </sheetView>
  </sheetViews>
  <sheetFormatPr defaultRowHeight="14.4" x14ac:dyDescent="0.3"/>
  <cols>
    <col min="1" max="1" width="3.6640625" customWidth="1"/>
    <col min="3" max="3" width="38" bestFit="1" customWidth="1"/>
    <col min="4" max="4" width="39.6640625" bestFit="1" customWidth="1"/>
    <col min="6" max="6" width="3.6640625" customWidth="1"/>
    <col min="9" max="9" width="8.88671875" customWidth="1"/>
  </cols>
  <sheetData>
    <row r="1" spans="2:5" s="16" customFormat="1" ht="30" customHeight="1" x14ac:dyDescent="0.25">
      <c r="B1" s="64" t="s">
        <v>23</v>
      </c>
      <c r="C1" s="65"/>
    </row>
    <row r="2" spans="2:5" s="9" customFormat="1" ht="15" customHeight="1" x14ac:dyDescent="0.25"/>
    <row r="3" spans="2:5" s="9" customFormat="1" ht="15" customHeight="1" x14ac:dyDescent="0.25">
      <c r="B3" s="63" t="s">
        <v>49</v>
      </c>
      <c r="C3" s="63"/>
      <c r="D3" s="63"/>
      <c r="E3" s="63"/>
    </row>
    <row r="4" spans="2:5" s="9" customFormat="1" ht="15" customHeight="1" x14ac:dyDescent="0.25">
      <c r="C4" s="9" t="s">
        <v>46</v>
      </c>
      <c r="D4" s="9">
        <f>YEAR(INDEX(SalesInventory[Date],1))</f>
        <v>2024</v>
      </c>
    </row>
    <row r="5" spans="2:5" s="9" customFormat="1" ht="15" customHeight="1" x14ac:dyDescent="0.25"/>
    <row r="6" spans="2:5" s="9" customFormat="1" ht="13.8" x14ac:dyDescent="0.25">
      <c r="B6" s="63" t="s">
        <v>26</v>
      </c>
      <c r="C6" s="63"/>
      <c r="D6" s="63"/>
      <c r="E6" s="63"/>
    </row>
    <row r="7" spans="2:5" s="9" customFormat="1" ht="13.8" x14ac:dyDescent="0.25"/>
    <row r="8" spans="2:5" s="9" customFormat="1" ht="13.8" x14ac:dyDescent="0.25">
      <c r="C8" s="10" t="s">
        <v>15</v>
      </c>
      <c r="D8" s="11" cm="1">
        <f t="array" aca="1" ref="D8" ca="1">current_date</f>
        <v>45671</v>
      </c>
    </row>
    <row r="9" spans="2:5" s="9" customFormat="1" ht="13.8" x14ac:dyDescent="0.25">
      <c r="C9" s="10" t="s">
        <v>16</v>
      </c>
      <c r="D9" s="11">
        <f>MAX(SalesInventory[Date])</f>
        <v>45663</v>
      </c>
    </row>
    <row r="10" spans="2:5" s="9" customFormat="1" ht="13.8" x14ac:dyDescent="0.25">
      <c r="C10" s="10" t="s">
        <v>17</v>
      </c>
      <c r="D10" s="12" t="str">
        <f ca="1">IF(D9=0, "", "( " &amp; _xlfn.DAYS(D8, D9) &amp; " days ago )")</f>
        <v>( 8 days ago )</v>
      </c>
    </row>
    <row r="11" spans="2:5" s="9" customFormat="1" ht="13.8" x14ac:dyDescent="0.25">
      <c r="C11" s="10" t="s">
        <v>18</v>
      </c>
      <c r="D11" s="12">
        <f>COUNT(SalesInventory[Date])</f>
        <v>51</v>
      </c>
    </row>
    <row r="12" spans="2:5" s="9" customFormat="1" ht="13.8" x14ac:dyDescent="0.25">
      <c r="C12" s="10" t="s">
        <v>19</v>
      </c>
      <c r="D12" s="12" t="str" cm="1">
        <f t="array" aca="1" ref="D12" ca="1">"( "&amp; SUMPRODUCT(--(YEAR(SalesInventory[Date])=YEAR(TODAY())))&amp;" this year )"</f>
        <v>( 10 this year )</v>
      </c>
    </row>
    <row r="13" spans="2:5" s="9" customFormat="1" ht="13.8" x14ac:dyDescent="0.25">
      <c r="C13" s="10" t="s">
        <v>60</v>
      </c>
      <c r="D13" s="13">
        <f>SUM(SalesInventory[Qty_sold])</f>
        <v>106</v>
      </c>
    </row>
    <row r="14" spans="2:5" s="9" customFormat="1" ht="13.8" x14ac:dyDescent="0.25"/>
    <row r="15" spans="2:5" s="9" customFormat="1" ht="13.8" x14ac:dyDescent="0.25"/>
    <row r="16" spans="2:5" s="9" customFormat="1" ht="13.8" x14ac:dyDescent="0.25">
      <c r="B16" s="63" t="s">
        <v>27</v>
      </c>
      <c r="C16" s="63"/>
      <c r="D16" s="63"/>
      <c r="E16" s="63"/>
    </row>
    <row r="17" spans="2:10" s="9" customFormat="1" ht="13.8" x14ac:dyDescent="0.25"/>
    <row r="18" spans="2:10" s="9" customFormat="1" ht="13.8" x14ac:dyDescent="0.25">
      <c r="C18" s="10" t="s">
        <v>20</v>
      </c>
      <c r="D18" s="12">
        <f>IF(Dashboard!$AH$2="Current Year", YEAR(DATEVALUE("12/06/2024")), Dashboard!$AH$2)</f>
        <v>2024</v>
      </c>
    </row>
    <row r="19" spans="2:10" s="9" customFormat="1" ht="13.8" x14ac:dyDescent="0.25">
      <c r="C19" s="10" t="s">
        <v>21</v>
      </c>
      <c r="D19" s="12" cm="1">
        <f t="array" ref="D19">IF(Dashboard!$AK$2="Total Year","Total Year",
    IF(Dashboard!$AK$2="Current Month", MONTH(current_date),
    MONTH(Dashboard!$AK$2)))</f>
        <v>12</v>
      </c>
    </row>
    <row r="20" spans="2:10" s="9" customFormat="1" ht="13.8" x14ac:dyDescent="0.25">
      <c r="C20" s="14" t="s">
        <v>22</v>
      </c>
      <c r="D20" s="15" t="str">
        <f>IF(selected_period="Total Year", "Total Year", TEXT(DATE(selected_year, selected_period, 1), "mmmm"))</f>
        <v>December</v>
      </c>
    </row>
    <row r="21" spans="2:10" s="9" customFormat="1" ht="13.8" x14ac:dyDescent="0.25">
      <c r="C21" s="10" t="s">
        <v>43</v>
      </c>
      <c r="D21" s="53">
        <f>IF(selected_period="Total Year", DATE(selected_year, 12, 31) - DATE(selected_year-1, 12, 31), DAY(EOMONTH(DATE(selected_year, selected_period, 1), 0)))</f>
        <v>31</v>
      </c>
    </row>
    <row r="22" spans="2:10" s="9" customFormat="1" x14ac:dyDescent="0.3">
      <c r="B22"/>
      <c r="C22" s="10" t="s">
        <v>44</v>
      </c>
      <c r="D22" s="53" cm="1">
        <f t="array" aca="1" ref="D22" ca="1">IF(selected_year &gt; YEAR(current_date), 0,
   IF(selected_year &lt; YEAR(current_date),
      DAY(EOMONTH(DATE(selected_year, selected_period, 1), 0)),
      IF(selected_period = MONTH(current_date),
         DAY(current_date),
         IF(selected_period &lt; MONTH(current_date),
            DAY(EOMONTH(DATE(selected_year, selected_period, 1), 0)),
            0
         )
      )
   )
)</f>
        <v>31</v>
      </c>
      <c r="I22"/>
      <c r="J22"/>
    </row>
    <row r="23" spans="2:10" x14ac:dyDescent="0.3">
      <c r="C23" s="10" t="s">
        <v>45</v>
      </c>
      <c r="D23" s="54">
        <f ca="1">D22/D21</f>
        <v>1</v>
      </c>
    </row>
  </sheetData>
  <mergeCells count="4">
    <mergeCell ref="B6:E6"/>
    <mergeCell ref="B1:C1"/>
    <mergeCell ref="B16:E16"/>
    <mergeCell ref="B3:E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31BF2-A920-4935-8962-F97D0D9110D2}">
  <sheetPr codeName="Sheet1"/>
  <dimension ref="B1:D19"/>
  <sheetViews>
    <sheetView showGridLines="0" zoomScale="80" zoomScaleNormal="80" workbookViewId="0">
      <selection activeCell="H25" sqref="H25"/>
    </sheetView>
  </sheetViews>
  <sheetFormatPr defaultRowHeight="14.4" x14ac:dyDescent="0.3"/>
  <cols>
    <col min="2" max="2" width="20.109375" style="19" customWidth="1"/>
    <col min="3" max="3" width="3.6640625" customWidth="1"/>
    <col min="4" max="4" width="32" style="55" customWidth="1"/>
  </cols>
  <sheetData>
    <row r="1" spans="2:4" s="16" customFormat="1" ht="30" customHeight="1" x14ac:dyDescent="0.25">
      <c r="B1" s="66" t="s">
        <v>47</v>
      </c>
      <c r="C1" s="66"/>
      <c r="D1" s="66"/>
    </row>
    <row r="2" spans="2:4" x14ac:dyDescent="0.3">
      <c r="B2" s="12"/>
      <c r="C2" s="9"/>
      <c r="D2" s="9"/>
    </row>
    <row r="3" spans="2:4" x14ac:dyDescent="0.3">
      <c r="B3" s="17" t="s">
        <v>24</v>
      </c>
      <c r="C3" s="9"/>
      <c r="D3" s="17" t="s">
        <v>42</v>
      </c>
    </row>
    <row r="4" spans="2:4" x14ac:dyDescent="0.3">
      <c r="B4" s="52" t="s">
        <v>48</v>
      </c>
      <c r="C4" s="9"/>
      <c r="D4" s="55" t="s">
        <v>39</v>
      </c>
    </row>
    <row r="5" spans="2:4" x14ac:dyDescent="0.3">
      <c r="B5" s="52" t="s">
        <v>25</v>
      </c>
      <c r="C5" s="9"/>
      <c r="D5" s="55" cm="1">
        <f t="array" ref="D5:D6">_xlfn._xlws.FILTER(_xlfn.UNIQUE(YEAR(SalesInventory[Date])),_xlfn.UNIQUE(YEAR(SalesInventory[Date])) &gt;=starting_year)</f>
        <v>2024</v>
      </c>
    </row>
    <row r="6" spans="2:4" x14ac:dyDescent="0.3">
      <c r="B6" s="56">
        <v>36526</v>
      </c>
      <c r="C6" s="9"/>
      <c r="D6" s="55">
        <v>2025</v>
      </c>
    </row>
    <row r="7" spans="2:4" x14ac:dyDescent="0.3">
      <c r="B7" s="56">
        <v>36557</v>
      </c>
      <c r="C7" s="9"/>
    </row>
    <row r="8" spans="2:4" x14ac:dyDescent="0.3">
      <c r="B8" s="56">
        <v>36586</v>
      </c>
      <c r="C8" s="9"/>
    </row>
    <row r="9" spans="2:4" x14ac:dyDescent="0.3">
      <c r="B9" s="56">
        <v>36617</v>
      </c>
      <c r="C9" s="9"/>
    </row>
    <row r="10" spans="2:4" x14ac:dyDescent="0.3">
      <c r="B10" s="56">
        <v>36647</v>
      </c>
      <c r="C10" s="9"/>
    </row>
    <row r="11" spans="2:4" x14ac:dyDescent="0.3">
      <c r="B11" s="56">
        <v>36678</v>
      </c>
      <c r="C11" s="9"/>
    </row>
    <row r="12" spans="2:4" x14ac:dyDescent="0.3">
      <c r="B12" s="56">
        <v>36708</v>
      </c>
      <c r="C12" s="9"/>
    </row>
    <row r="13" spans="2:4" x14ac:dyDescent="0.3">
      <c r="B13" s="56">
        <v>36739</v>
      </c>
      <c r="C13" s="9"/>
    </row>
    <row r="14" spans="2:4" x14ac:dyDescent="0.3">
      <c r="B14" s="56">
        <v>36770</v>
      </c>
      <c r="C14" s="9"/>
    </row>
    <row r="15" spans="2:4" x14ac:dyDescent="0.3">
      <c r="B15" s="56">
        <v>36800</v>
      </c>
      <c r="C15" s="9"/>
    </row>
    <row r="16" spans="2:4" x14ac:dyDescent="0.3">
      <c r="B16" s="56">
        <v>36831</v>
      </c>
      <c r="C16" s="9"/>
    </row>
    <row r="17" spans="2:3" x14ac:dyDescent="0.3">
      <c r="B17" s="56">
        <v>36861</v>
      </c>
      <c r="C17" s="9"/>
    </row>
    <row r="18" spans="2:3" x14ac:dyDescent="0.3">
      <c r="B18" s="12"/>
      <c r="C18" s="9"/>
    </row>
    <row r="19" spans="2:3" x14ac:dyDescent="0.3">
      <c r="C19" s="9"/>
    </row>
  </sheetData>
  <mergeCells count="1">
    <mergeCell ref="B1:D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9E90DF-FEBF-45F9-B49B-527E21CF03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PriceHistory</vt:lpstr>
      <vt:lpstr>Sales &amp; Inventory</vt:lpstr>
      <vt:lpstr>Dashboard</vt:lpstr>
      <vt:lpstr>Calculations</vt:lpstr>
      <vt:lpstr>Dropdown_Data</vt:lpstr>
      <vt:lpstr>PeriodOptions</vt:lpstr>
      <vt:lpstr>ProductNames</vt:lpstr>
      <vt:lpstr>selected_period</vt:lpstr>
      <vt:lpstr>selected_period_display</vt:lpstr>
      <vt:lpstr>selected_year</vt:lpstr>
      <vt:lpstr>starting_year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THE ONE</dc:creator>
  <cp:keywords/>
  <dc:description/>
  <cp:lastModifiedBy>Ben kar</cp:lastModifiedBy>
  <cp:revision/>
  <dcterms:created xsi:type="dcterms:W3CDTF">2023-07-15T19:36:03Z</dcterms:created>
  <dcterms:modified xsi:type="dcterms:W3CDTF">2025-01-14T09:15:11Z</dcterms:modified>
  <cp:category/>
  <cp:contentStatus/>
</cp:coreProperties>
</file>